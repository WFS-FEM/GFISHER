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chagaris\Github\WFS-FEM\GFISHER\data\"/>
    </mc:Choice>
  </mc:AlternateContent>
  <xr:revisionPtr revIDLastSave="0" documentId="13_ncr:1_{89152DF9-B096-41C8-8D59-153225A1D5B6}" xr6:coauthVersionLast="47" xr6:coauthVersionMax="47" xr10:uidLastSave="{00000000-0000-0000-0000-000000000000}"/>
  <bookViews>
    <workbookView xWindow="28695" yWindow="7755" windowWidth="29010" windowHeight="15615" activeTab="3" xr2:uid="{FB6D1ABD-E6A8-432F-9A1F-9D463FA3A86C}"/>
  </bookViews>
  <sheets>
    <sheet name="spplist" sheetId="1" r:id="rId1"/>
    <sheet name="model groups" sheetId="2" r:id="rId2"/>
    <sheet name="Sheet1" sheetId="6" r:id="rId3"/>
    <sheet name="spp_stanzas_sizes" sheetId="5" r:id="rId4"/>
    <sheet name="cluster spp" sheetId="3" r:id="rId5"/>
    <sheet name="cluster stats" sheetId="4" r:id="rId6"/>
  </sheets>
  <definedNames>
    <definedName name="_xlnm._FilterDatabase" localSheetId="4" hidden="1">'cluster spp'!$A$1:$AD$159</definedName>
    <definedName name="_xlnm._FilterDatabase" localSheetId="0" hidden="1">spplist!$A$1:$AQ$723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F5" i="2"/>
  <c r="F7" i="2"/>
  <c r="F9" i="2"/>
  <c r="F10" i="2"/>
  <c r="F11" i="2"/>
  <c r="F12" i="2"/>
  <c r="F13" i="2"/>
  <c r="F14" i="2"/>
  <c r="F16" i="2"/>
  <c r="F17" i="2"/>
  <c r="F18" i="2"/>
  <c r="F19" i="2"/>
  <c r="F20" i="2"/>
  <c r="F22" i="2"/>
  <c r="F23" i="2"/>
  <c r="F24" i="2"/>
  <c r="F25" i="2"/>
  <c r="F26"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2" i="2"/>
  <c r="T398" i="1"/>
  <c r="T261" i="1"/>
  <c r="C29" i="2"/>
  <c r="C30" i="2"/>
  <c r="C31" i="2"/>
  <c r="C32" i="2"/>
  <c r="C28" i="2"/>
  <c r="C26" i="2"/>
  <c r="C25" i="2"/>
  <c r="C24" i="2"/>
  <c r="C23" i="2"/>
  <c r="C22" i="2"/>
  <c r="T99" i="1"/>
  <c r="T98" i="1"/>
  <c r="T97" i="1"/>
  <c r="T96" i="1"/>
  <c r="T95" i="1"/>
  <c r="T92" i="1"/>
  <c r="T91" i="1"/>
  <c r="T90" i="1"/>
  <c r="T89" i="1"/>
  <c r="T93" i="1"/>
  <c r="T75" i="1"/>
  <c r="T76" i="1"/>
  <c r="T71" i="1"/>
  <c r="T69" i="1"/>
  <c r="T598" i="1"/>
  <c r="T599" i="1"/>
  <c r="T493" i="1"/>
  <c r="T524" i="1"/>
  <c r="T116" i="1"/>
  <c r="T106" i="1"/>
  <c r="T117" i="1"/>
  <c r="T118" i="1"/>
  <c r="T484" i="1"/>
  <c r="T530" i="1"/>
  <c r="T487" i="1"/>
  <c r="T82" i="1"/>
  <c r="T528" i="1"/>
  <c r="T494" i="1"/>
  <c r="T407" i="1"/>
  <c r="T479" i="1"/>
  <c r="T495" i="1"/>
  <c r="T305" i="1"/>
  <c r="T477" i="1"/>
  <c r="T491" i="1"/>
  <c r="T55" i="1"/>
  <c r="T531" i="1"/>
  <c r="T61" i="1"/>
  <c r="T68" i="1"/>
  <c r="B22" i="3" l="1"/>
  <c r="B14" i="3"/>
  <c r="B32" i="3"/>
  <c r="B47" i="3"/>
  <c r="B56" i="3"/>
  <c r="B55" i="3"/>
  <c r="B158" i="3"/>
  <c r="B141" i="3"/>
  <c r="B124" i="3"/>
  <c r="B142" i="3"/>
  <c r="A22" i="4"/>
  <c r="B7" i="3" s="1"/>
  <c r="A23" i="4"/>
  <c r="B2" i="3" s="1"/>
  <c r="A24" i="4"/>
  <c r="B3" i="3" s="1"/>
  <c r="A25" i="4"/>
  <c r="B87" i="3" s="1"/>
  <c r="A26" i="4"/>
  <c r="B31" i="3" s="1"/>
  <c r="A27" i="4"/>
  <c r="B69" i="3" s="1"/>
  <c r="A28" i="4"/>
  <c r="B94" i="3" s="1"/>
  <c r="A29" i="4"/>
  <c r="B48" i="3" s="1"/>
  <c r="A30" i="4"/>
  <c r="B24" i="3" s="1"/>
  <c r="A31" i="4"/>
  <c r="B159" i="3" s="1"/>
  <c r="A32" i="4"/>
  <c r="B151" i="3" s="1"/>
  <c r="A33" i="4"/>
  <c r="B103" i="3" s="1"/>
  <c r="A34" i="4"/>
  <c r="B144" i="3" s="1"/>
  <c r="A35" i="4"/>
  <c r="B127" i="3" s="1"/>
  <c r="A21" i="4"/>
  <c r="B15" i="3" s="1"/>
  <c r="C22" i="3"/>
  <c r="C15" i="3"/>
  <c r="C16" i="3"/>
  <c r="C19" i="3"/>
  <c r="C20" i="3"/>
  <c r="C23" i="3"/>
  <c r="C17" i="3"/>
  <c r="C18" i="3"/>
  <c r="C14" i="3"/>
  <c r="C21" i="3"/>
  <c r="C7" i="3"/>
  <c r="C8" i="3"/>
  <c r="C9" i="3"/>
  <c r="C10" i="3"/>
  <c r="C11" i="3"/>
  <c r="C12" i="3"/>
  <c r="C2" i="3"/>
  <c r="C3" i="3"/>
  <c r="C4" i="3"/>
  <c r="C5" i="3"/>
  <c r="C6" i="3"/>
  <c r="C88" i="3"/>
  <c r="C89" i="3"/>
  <c r="C90" i="3"/>
  <c r="C91" i="3"/>
  <c r="C87" i="3"/>
  <c r="C92" i="3"/>
  <c r="C93" i="3"/>
  <c r="C29" i="3"/>
  <c r="C38" i="3"/>
  <c r="C36" i="3"/>
  <c r="C30" i="3"/>
  <c r="C32" i="3"/>
  <c r="C31" i="3"/>
  <c r="C33" i="3"/>
  <c r="C34" i="3"/>
  <c r="C35" i="3"/>
  <c r="C39" i="3"/>
  <c r="C37" i="3"/>
  <c r="C63" i="3"/>
  <c r="C68" i="3"/>
  <c r="C69" i="3"/>
  <c r="C84" i="3"/>
  <c r="C70" i="3"/>
  <c r="C72" i="3"/>
  <c r="C73" i="3"/>
  <c r="C74" i="3"/>
  <c r="C75" i="3"/>
  <c r="C77" i="3"/>
  <c r="C86" i="3"/>
  <c r="C79" i="3"/>
  <c r="C62" i="3"/>
  <c r="C80" i="3"/>
  <c r="C83" i="3"/>
  <c r="C78" i="3"/>
  <c r="C61" i="3"/>
  <c r="C76" i="3"/>
  <c r="C82" i="3"/>
  <c r="C71" i="3"/>
  <c r="C64" i="3"/>
  <c r="C65" i="3"/>
  <c r="C66" i="3"/>
  <c r="C85" i="3"/>
  <c r="C67" i="3"/>
  <c r="C81" i="3"/>
  <c r="C94" i="3"/>
  <c r="C95" i="3"/>
  <c r="C96" i="3"/>
  <c r="C97" i="3"/>
  <c r="C41" i="3"/>
  <c r="C53" i="3"/>
  <c r="C40" i="3"/>
  <c r="C47" i="3"/>
  <c r="C48" i="3"/>
  <c r="C49" i="3"/>
  <c r="C54" i="3"/>
  <c r="C52" i="3"/>
  <c r="C44" i="3"/>
  <c r="C58" i="3"/>
  <c r="C51" i="3"/>
  <c r="C56" i="3"/>
  <c r="C57" i="3"/>
  <c r="C42" i="3"/>
  <c r="C43" i="3"/>
  <c r="C45" i="3"/>
  <c r="C46" i="3"/>
  <c r="C50" i="3"/>
  <c r="C59" i="3"/>
  <c r="C55" i="3"/>
  <c r="C60" i="3"/>
  <c r="C24" i="3"/>
  <c r="C26" i="3"/>
  <c r="C27" i="3"/>
  <c r="C25" i="3"/>
  <c r="C28" i="3"/>
  <c r="C157" i="3"/>
  <c r="C158" i="3"/>
  <c r="C159" i="3"/>
  <c r="C153" i="3"/>
  <c r="C149" i="3"/>
  <c r="C156" i="3"/>
  <c r="C150" i="3"/>
  <c r="C147" i="3"/>
  <c r="C148" i="3"/>
  <c r="C146" i="3"/>
  <c r="C151" i="3"/>
  <c r="C152" i="3"/>
  <c r="C154" i="3"/>
  <c r="C155" i="3"/>
  <c r="C109" i="3"/>
  <c r="C98" i="3"/>
  <c r="C100" i="3"/>
  <c r="C105" i="3"/>
  <c r="C103" i="3"/>
  <c r="C104" i="3"/>
  <c r="C106" i="3"/>
  <c r="C107" i="3"/>
  <c r="C102" i="3"/>
  <c r="C108" i="3"/>
  <c r="C119" i="3"/>
  <c r="C120" i="3"/>
  <c r="C114" i="3"/>
  <c r="C101" i="3"/>
  <c r="C115" i="3"/>
  <c r="C99" i="3"/>
  <c r="C117" i="3"/>
  <c r="C118" i="3"/>
  <c r="C113" i="3"/>
  <c r="C116" i="3"/>
  <c r="C110" i="3"/>
  <c r="C111" i="3"/>
  <c r="C112" i="3"/>
  <c r="C144" i="3"/>
  <c r="C145" i="3"/>
  <c r="C143" i="3"/>
  <c r="C121" i="3"/>
  <c r="C141" i="3"/>
  <c r="C127" i="3"/>
  <c r="C128" i="3"/>
  <c r="C133" i="3"/>
  <c r="C126" i="3"/>
  <c r="C134" i="3"/>
  <c r="C122" i="3"/>
  <c r="C123" i="3"/>
  <c r="C124" i="3"/>
  <c r="C130" i="3"/>
  <c r="C131" i="3"/>
  <c r="C132" i="3"/>
  <c r="C135" i="3"/>
  <c r="C140" i="3"/>
  <c r="C125" i="3"/>
  <c r="C129" i="3"/>
  <c r="C142" i="3"/>
  <c r="C136" i="3"/>
  <c r="C137" i="3"/>
  <c r="C138" i="3"/>
  <c r="C139" i="3"/>
  <c r="C13" i="3"/>
  <c r="B129" i="3" l="1"/>
  <c r="B123" i="3"/>
  <c r="B121" i="3"/>
  <c r="B113" i="3"/>
  <c r="B119" i="3"/>
  <c r="B100" i="3"/>
  <c r="B148" i="3"/>
  <c r="B157" i="3"/>
  <c r="B59" i="3"/>
  <c r="B51" i="3"/>
  <c r="B40" i="3"/>
  <c r="B67" i="3"/>
  <c r="B61" i="3"/>
  <c r="B75" i="3"/>
  <c r="B63" i="3"/>
  <c r="B30" i="3"/>
  <c r="B90" i="3"/>
  <c r="B12" i="3"/>
  <c r="B18" i="3"/>
  <c r="B125" i="3"/>
  <c r="B122" i="3"/>
  <c r="B143" i="3"/>
  <c r="B118" i="3"/>
  <c r="B108" i="3"/>
  <c r="B98" i="3"/>
  <c r="B147" i="3"/>
  <c r="B28" i="3"/>
  <c r="B50" i="3"/>
  <c r="B58" i="3"/>
  <c r="B53" i="3"/>
  <c r="B85" i="3"/>
  <c r="B78" i="3"/>
  <c r="B74" i="3"/>
  <c r="B37" i="3"/>
  <c r="B36" i="3"/>
  <c r="B89" i="3"/>
  <c r="B11" i="3"/>
  <c r="B17" i="3"/>
  <c r="B116" i="3"/>
  <c r="B81" i="3"/>
  <c r="B68" i="3"/>
  <c r="B13" i="3"/>
  <c r="B140" i="3"/>
  <c r="B134" i="3"/>
  <c r="B145" i="3"/>
  <c r="B117" i="3"/>
  <c r="B102" i="3"/>
  <c r="B109" i="3"/>
  <c r="B150" i="3"/>
  <c r="B25" i="3"/>
  <c r="B46" i="3"/>
  <c r="B44" i="3"/>
  <c r="B41" i="3"/>
  <c r="B66" i="3"/>
  <c r="B83" i="3"/>
  <c r="B73" i="3"/>
  <c r="B39" i="3"/>
  <c r="B38" i="3"/>
  <c r="B88" i="3"/>
  <c r="B10" i="3"/>
  <c r="B23" i="3"/>
  <c r="B120" i="3"/>
  <c r="B146" i="3"/>
  <c r="B76" i="3"/>
  <c r="B91" i="3"/>
  <c r="B139" i="3"/>
  <c r="B135" i="3"/>
  <c r="B126" i="3"/>
  <c r="B99" i="3"/>
  <c r="B107" i="3"/>
  <c r="B155" i="3"/>
  <c r="B156" i="3"/>
  <c r="B27" i="3"/>
  <c r="B45" i="3"/>
  <c r="B52" i="3"/>
  <c r="B97" i="3"/>
  <c r="B65" i="3"/>
  <c r="B80" i="3"/>
  <c r="B72" i="3"/>
  <c r="B35" i="3"/>
  <c r="B29" i="3"/>
  <c r="B6" i="3"/>
  <c r="B9" i="3"/>
  <c r="B20" i="3"/>
  <c r="B138" i="3"/>
  <c r="B132" i="3"/>
  <c r="B133" i="3"/>
  <c r="B112" i="3"/>
  <c r="B115" i="3"/>
  <c r="B106" i="3"/>
  <c r="B154" i="3"/>
  <c r="B149" i="3"/>
  <c r="B26" i="3"/>
  <c r="B43" i="3"/>
  <c r="B54" i="3"/>
  <c r="B96" i="3"/>
  <c r="B64" i="3"/>
  <c r="B62" i="3"/>
  <c r="B70" i="3"/>
  <c r="B34" i="3"/>
  <c r="B93" i="3"/>
  <c r="B5" i="3"/>
  <c r="B8" i="3"/>
  <c r="B19" i="3"/>
  <c r="B105" i="3"/>
  <c r="B77" i="3"/>
  <c r="B137" i="3"/>
  <c r="B131" i="3"/>
  <c r="B128" i="3"/>
  <c r="B111" i="3"/>
  <c r="B101" i="3"/>
  <c r="B104" i="3"/>
  <c r="B152" i="3"/>
  <c r="B153" i="3"/>
  <c r="B42" i="3"/>
  <c r="B49" i="3"/>
  <c r="B95" i="3"/>
  <c r="B71" i="3"/>
  <c r="B79" i="3"/>
  <c r="B84" i="3"/>
  <c r="B33" i="3"/>
  <c r="B92" i="3"/>
  <c r="B4" i="3"/>
  <c r="B16" i="3"/>
  <c r="B136" i="3"/>
  <c r="B130" i="3"/>
  <c r="B110" i="3"/>
  <c r="B114" i="3"/>
  <c r="B60" i="3"/>
  <c r="B57" i="3"/>
  <c r="B82" i="3"/>
  <c r="B86" i="3"/>
  <c r="B21" i="3"/>
  <c r="A3" i="2"/>
  <c r="A4" i="2" l="1"/>
  <c r="D105" i="1"/>
  <c r="E105" i="1" l="1"/>
  <c r="A5" i="2"/>
  <c r="T448" i="1"/>
  <c r="T478" i="1"/>
  <c r="T289" i="1"/>
  <c r="T472" i="1"/>
  <c r="T462" i="1"/>
  <c r="T381" i="1"/>
  <c r="T459" i="1"/>
  <c r="T460" i="1"/>
  <c r="T296" i="1"/>
  <c r="T469" i="1"/>
  <c r="T271" i="1"/>
  <c r="T470" i="1"/>
  <c r="T295" i="1"/>
  <c r="T225" i="1"/>
  <c r="T266" i="1"/>
  <c r="T274" i="1"/>
  <c r="T294" i="1"/>
  <c r="T461" i="1"/>
  <c r="T257" i="1"/>
  <c r="T87" i="1"/>
  <c r="T146" i="1"/>
  <c r="T608" i="1"/>
  <c r="T400" i="1"/>
  <c r="T299" i="1"/>
  <c r="T449" i="1"/>
  <c r="T278" i="1"/>
  <c r="T24" i="1"/>
  <c r="T450" i="1"/>
  <c r="T303" i="1"/>
  <c r="T446" i="1"/>
  <c r="T43" i="1"/>
  <c r="T45" i="1"/>
  <c r="T408" i="1"/>
  <c r="T36" i="1"/>
  <c r="T121" i="1"/>
  <c r="T78" i="1"/>
  <c r="T401" i="1"/>
  <c r="T249" i="1"/>
  <c r="T304" i="1"/>
  <c r="T378" i="1"/>
  <c r="T240" i="1"/>
  <c r="T193" i="1"/>
  <c r="T471" i="1"/>
  <c r="T402" i="1"/>
  <c r="T389" i="1"/>
  <c r="T309" i="1"/>
  <c r="T236" i="1"/>
  <c r="T280" i="1"/>
  <c r="T279" i="1"/>
  <c r="T396" i="1"/>
  <c r="T395" i="1"/>
  <c r="T235" i="1"/>
  <c r="T320" i="1"/>
  <c r="T110" i="1"/>
  <c r="T206" i="1"/>
  <c r="T37" i="1"/>
  <c r="T65" i="1"/>
  <c r="T184" i="1"/>
  <c r="T404" i="1"/>
  <c r="T405" i="1"/>
  <c r="T391" i="1"/>
  <c r="T406" i="1"/>
  <c r="T383" i="1"/>
  <c r="T321" i="1"/>
  <c r="T220" i="1"/>
  <c r="T427" i="1"/>
  <c r="T186" i="1"/>
  <c r="T205" i="1"/>
  <c r="T52" i="1"/>
  <c r="T234" i="1"/>
  <c r="T322" i="1"/>
  <c r="T422" i="1"/>
  <c r="T364" i="1"/>
  <c r="T139" i="1"/>
  <c r="T251" i="1"/>
  <c r="T66" i="1"/>
  <c r="T388" i="1"/>
  <c r="T387" i="1"/>
  <c r="T232" i="1"/>
  <c r="T365" i="1"/>
  <c r="T127" i="1"/>
  <c r="T445" i="1"/>
  <c r="T426" i="1"/>
  <c r="T370" i="1"/>
  <c r="T54" i="1"/>
  <c r="T475" i="1"/>
  <c r="T323" i="1"/>
  <c r="T210" i="1"/>
  <c r="T316" i="1"/>
  <c r="T361" i="1"/>
  <c r="T421" i="1"/>
  <c r="T410" i="1"/>
  <c r="T314" i="1"/>
  <c r="T399" i="1"/>
  <c r="T419" i="1"/>
  <c r="T308" i="1"/>
  <c r="T382" i="1"/>
  <c r="T367" i="1"/>
  <c r="T122" i="1"/>
  <c r="T418" i="1"/>
  <c r="T25" i="1"/>
  <c r="T131" i="1"/>
  <c r="T358" i="1"/>
  <c r="T2" i="1"/>
  <c r="T174" i="1"/>
  <c r="T300" i="1"/>
  <c r="T77" i="1"/>
  <c r="T7" i="1"/>
  <c r="T393" i="1"/>
  <c r="T420" i="1"/>
  <c r="T246" i="1"/>
  <c r="T67" i="1"/>
  <c r="T4" i="1"/>
  <c r="T3" i="1"/>
  <c r="T6" i="1"/>
  <c r="T5" i="1"/>
  <c r="T12" i="1"/>
  <c r="T11" i="1"/>
  <c r="T53" i="1"/>
  <c r="T10" i="1"/>
  <c r="T326" i="1"/>
  <c r="T20" i="1"/>
  <c r="T59" i="1"/>
  <c r="T13" i="1"/>
  <c r="T48" i="1"/>
  <c r="T74" i="1"/>
  <c r="T73" i="1"/>
  <c r="T119" i="1"/>
  <c r="T301" i="1"/>
  <c r="T101" i="1"/>
  <c r="T70" i="1"/>
  <c r="T100" i="1"/>
  <c r="T21" i="1"/>
  <c r="T243" i="1"/>
  <c r="T41" i="1"/>
  <c r="T156" i="1"/>
  <c r="T9" i="1"/>
  <c r="T180" i="1"/>
  <c r="T229" i="1"/>
  <c r="T325" i="1"/>
  <c r="T49" i="1"/>
  <c r="T62" i="1"/>
  <c r="T104" i="1"/>
  <c r="T135" i="1"/>
  <c r="T166" i="1"/>
  <c r="T132" i="1"/>
  <c r="T241" i="1"/>
  <c r="T242" i="1"/>
  <c r="T134" i="1"/>
  <c r="T72" i="1"/>
  <c r="T345" i="1"/>
  <c r="T79" i="1"/>
  <c r="T230" i="1"/>
  <c r="T474" i="1"/>
  <c r="T191" i="1"/>
  <c r="T47" i="1"/>
  <c r="T175" i="1"/>
  <c r="T150" i="1"/>
  <c r="T176" i="1"/>
  <c r="T327" i="1"/>
  <c r="T412" i="1"/>
  <c r="T151" i="1"/>
  <c r="T149" i="1"/>
  <c r="T216" i="1"/>
  <c r="T217" i="1"/>
  <c r="T374" i="1"/>
  <c r="T129" i="1"/>
  <c r="T128" i="1"/>
  <c r="T372" i="1"/>
  <c r="T108" i="1"/>
  <c r="T173" i="1"/>
  <c r="T201" i="1"/>
  <c r="T451" i="1"/>
  <c r="T335" i="1"/>
  <c r="T218" i="1"/>
  <c r="T137" i="1"/>
  <c r="T80" i="1"/>
  <c r="T81" i="1"/>
  <c r="T94" i="1"/>
  <c r="T40" i="1"/>
  <c r="T111" i="1"/>
  <c r="T194" i="1"/>
  <c r="T195" i="1"/>
  <c r="T336" i="1"/>
  <c r="T109" i="1"/>
  <c r="T476" i="1"/>
  <c r="T252" i="1"/>
  <c r="T233" i="1"/>
  <c r="T167" i="1"/>
  <c r="T200" i="1"/>
  <c r="T189" i="1"/>
  <c r="T30" i="1"/>
  <c r="T18" i="1"/>
  <c r="T190" i="1"/>
  <c r="T260" i="1"/>
  <c r="T259" i="1"/>
  <c r="T258" i="1"/>
  <c r="T23" i="1"/>
  <c r="T366" i="1"/>
  <c r="T142" i="1"/>
  <c r="T375" i="1"/>
  <c r="T334" i="1"/>
  <c r="T181" i="1"/>
  <c r="T169" i="1"/>
  <c r="T262" i="1"/>
  <c r="T385" i="1"/>
  <c r="T171" i="1"/>
  <c r="T182" i="1"/>
  <c r="T371" i="1"/>
  <c r="T264" i="1"/>
  <c r="T442" i="1"/>
  <c r="T238" i="1"/>
  <c r="T239" i="1"/>
  <c r="T231" i="1"/>
  <c r="T273" i="1"/>
  <c r="T272" i="1"/>
  <c r="T165" i="1"/>
  <c r="T605" i="1"/>
  <c r="T103" i="1"/>
  <c r="T222" i="1"/>
  <c r="T588" i="1"/>
  <c r="T136" i="1"/>
  <c r="T397" i="1"/>
  <c r="T337" i="1"/>
  <c r="T504" i="1"/>
  <c r="T525" i="1"/>
  <c r="T124" i="1"/>
  <c r="T57" i="1"/>
  <c r="T413" i="1"/>
  <c r="T505" i="1"/>
  <c r="T506" i="1"/>
  <c r="T512" i="1"/>
  <c r="T552" i="1"/>
  <c r="T376" i="1"/>
  <c r="T244" i="1"/>
  <c r="T154" i="1"/>
  <c r="T256" i="1"/>
  <c r="T285" i="1"/>
  <c r="T286" i="1"/>
  <c r="T199" i="1"/>
  <c r="T196" i="1"/>
  <c r="T267" i="1"/>
  <c r="T317" i="1"/>
  <c r="T219" i="1"/>
  <c r="T254" i="1"/>
  <c r="T168" i="1"/>
  <c r="T453" i="1"/>
  <c r="T152" i="1"/>
  <c r="T492" i="1"/>
  <c r="T496" i="1"/>
  <c r="T153" i="1"/>
  <c r="T212" i="1"/>
  <c r="T213" i="1"/>
  <c r="T452" i="1"/>
  <c r="T83" i="1"/>
  <c r="T147" i="1"/>
  <c r="T207" i="1"/>
  <c r="T466" i="1"/>
  <c r="T268" i="1"/>
  <c r="T115" i="1"/>
  <c r="T183" i="1"/>
  <c r="T281" i="1"/>
  <c r="T125" i="1"/>
  <c r="T330" i="1"/>
  <c r="T473" i="1"/>
  <c r="T463" i="1"/>
  <c r="T609" i="1"/>
  <c r="T60" i="1"/>
  <c r="T263" i="1"/>
  <c r="T64" i="1"/>
  <c r="T214" i="1"/>
  <c r="T607" i="1"/>
  <c r="T428" i="1"/>
  <c r="T177" i="1"/>
  <c r="T255" i="1"/>
  <c r="T297" i="1"/>
  <c r="T63" i="1"/>
  <c r="T14" i="1"/>
  <c r="T15" i="1"/>
  <c r="T414" i="1"/>
  <c r="T50" i="1"/>
  <c r="T211" i="1"/>
  <c r="T464" i="1"/>
  <c r="T416" i="1"/>
  <c r="T481" i="1"/>
  <c r="T539" i="1"/>
  <c r="T342" i="1"/>
  <c r="T510" i="1"/>
  <c r="T516" i="1"/>
  <c r="T508" i="1"/>
  <c r="T527" i="1"/>
  <c r="T486" i="1"/>
  <c r="T485" i="1"/>
  <c r="T17" i="1"/>
  <c r="T341" i="1"/>
  <c r="T606" i="1"/>
  <c r="T520" i="1"/>
  <c r="T482" i="1"/>
  <c r="T513" i="1"/>
  <c r="T514" i="1"/>
  <c r="T521" i="1"/>
  <c r="T541" i="1"/>
  <c r="T488" i="1"/>
  <c r="T543" i="1"/>
  <c r="T544" i="1"/>
  <c r="T329" i="1"/>
  <c r="T44" i="1"/>
  <c r="T693" i="1"/>
  <c r="T223" i="1"/>
  <c r="T519" i="1"/>
  <c r="T517" i="1"/>
  <c r="T538" i="1"/>
  <c r="T549" i="1"/>
  <c r="T548" i="1"/>
  <c r="T497" i="1"/>
  <c r="T498" i="1"/>
  <c r="T499" i="1"/>
  <c r="T500" i="1"/>
  <c r="T312" i="1"/>
  <c r="T46" i="1"/>
  <c r="T140" i="1"/>
  <c r="T350" i="1"/>
  <c r="T501" i="1"/>
  <c r="T502" i="1"/>
  <c r="T349" i="1"/>
  <c r="T351" i="1"/>
  <c r="T250" i="1"/>
  <c r="T490" i="1"/>
  <c r="T550" i="1"/>
  <c r="T384" i="1"/>
  <c r="T33" i="1"/>
  <c r="T542" i="1"/>
  <c r="T540" i="1"/>
  <c r="T509" i="1"/>
  <c r="T356" i="1"/>
  <c r="T311" i="1"/>
  <c r="T287" i="1"/>
  <c r="T359" i="1"/>
  <c r="T532" i="1"/>
  <c r="T526" i="1"/>
  <c r="T507" i="1"/>
  <c r="T290" i="1"/>
  <c r="T291" i="1"/>
  <c r="T368" i="1"/>
  <c r="T483" i="1"/>
  <c r="T721" i="1"/>
  <c r="T39" i="1"/>
  <c r="T533" i="1"/>
  <c r="T511" i="1"/>
  <c r="T722" i="1"/>
  <c r="T723" i="1"/>
  <c r="T534" i="1"/>
  <c r="T288" i="1"/>
  <c r="T417" i="1"/>
  <c r="T535" i="1"/>
  <c r="T536" i="1"/>
  <c r="T515" i="1"/>
  <c r="T333" i="1"/>
  <c r="T253" i="1"/>
  <c r="T537" i="1"/>
  <c r="T518" i="1"/>
  <c r="T409" i="1"/>
  <c r="B5" i="1" l="1"/>
  <c r="B4" i="1"/>
  <c r="B6" i="1"/>
  <c r="B7" i="1"/>
  <c r="B3" i="1"/>
  <c r="B2" i="1"/>
  <c r="A6" i="2"/>
  <c r="B10" i="1" l="1"/>
  <c r="B17" i="1"/>
  <c r="B15" i="1"/>
  <c r="B12" i="1"/>
  <c r="B13" i="1"/>
  <c r="B18" i="1"/>
  <c r="B9" i="1"/>
  <c r="B14" i="1"/>
  <c r="B11" i="1"/>
  <c r="B8" i="1"/>
  <c r="B16" i="1"/>
  <c r="A7" i="2"/>
  <c r="B19" i="1" s="1"/>
  <c r="B29" i="1" l="1"/>
  <c r="B36" i="1"/>
  <c r="B37" i="1"/>
  <c r="B39" i="1"/>
  <c r="B31" i="1"/>
  <c r="B38" i="1"/>
  <c r="B33" i="1"/>
  <c r="B24" i="1"/>
  <c r="B20" i="1"/>
  <c r="B28" i="1"/>
  <c r="B44" i="1"/>
  <c r="B45" i="1"/>
  <c r="B22" i="1"/>
  <c r="B46" i="1"/>
  <c r="B32" i="1"/>
  <c r="B21" i="1"/>
  <c r="B43" i="1"/>
  <c r="B42" i="1"/>
  <c r="B40" i="1"/>
  <c r="B23" i="1"/>
  <c r="B27" i="1"/>
  <c r="B41" i="1"/>
  <c r="B30" i="1"/>
  <c r="B26" i="1"/>
  <c r="B34" i="1"/>
  <c r="B35" i="1"/>
  <c r="B25" i="1"/>
  <c r="A8" i="2"/>
  <c r="B65" i="1" l="1"/>
  <c r="B61" i="1"/>
  <c r="B50" i="1"/>
  <c r="B62" i="1"/>
  <c r="B49" i="1"/>
  <c r="B67" i="1"/>
  <c r="B66" i="1"/>
  <c r="B63" i="1"/>
  <c r="B57" i="1"/>
  <c r="B55" i="1"/>
  <c r="B68" i="1"/>
  <c r="B48" i="1"/>
  <c r="B47" i="1"/>
  <c r="B53" i="1"/>
  <c r="B56" i="1"/>
  <c r="A9" i="2"/>
  <c r="B69" i="1" l="1"/>
  <c r="A10" i="2"/>
  <c r="A11" i="2" l="1"/>
  <c r="A12" i="2" l="1"/>
  <c r="A13" i="2" s="1"/>
  <c r="A14" i="2" s="1"/>
  <c r="A15" i="2" s="1"/>
  <c r="A16" i="2" s="1"/>
  <c r="A17" i="2" s="1"/>
  <c r="A18" i="2" s="1"/>
  <c r="A19" i="2" l="1"/>
  <c r="A20" i="2" l="1"/>
  <c r="A21" i="2" l="1"/>
  <c r="A22" i="2" s="1"/>
  <c r="A23" i="2" s="1"/>
  <c r="A24" i="2" s="1"/>
  <c r="A25" i="2" s="1"/>
  <c r="A26" i="2" s="1"/>
  <c r="A27" i="2" l="1"/>
  <c r="A28" i="2" l="1"/>
  <c r="A29" i="2" l="1"/>
  <c r="A30" i="2" l="1"/>
  <c r="A31" i="2" l="1"/>
  <c r="A32" i="2" l="1"/>
  <c r="A33" i="2" l="1"/>
  <c r="A34" i="2" l="1"/>
  <c r="A35" i="2" s="1"/>
  <c r="A36" i="2" l="1"/>
  <c r="A37" i="2" l="1"/>
  <c r="A38" i="2" l="1"/>
  <c r="A39" i="2" l="1"/>
  <c r="A40" i="2" l="1"/>
  <c r="A41" i="2" l="1"/>
  <c r="A42" i="2" l="1"/>
  <c r="A43" i="2" l="1"/>
  <c r="A44" i="2" s="1"/>
  <c r="A45" i="2" l="1"/>
  <c r="A46" i="2" l="1"/>
  <c r="A47" i="2" l="1"/>
  <c r="A48" i="2" l="1"/>
  <c r="A49" i="2" l="1"/>
  <c r="A50" i="2" l="1"/>
  <c r="A51" i="2" l="1"/>
  <c r="A52" i="2" l="1"/>
  <c r="A53" i="2" l="1"/>
  <c r="A54" i="2" l="1"/>
  <c r="A55" i="2" l="1"/>
  <c r="A56" i="2" l="1"/>
  <c r="A57" i="2" l="1"/>
  <c r="A58" i="2" l="1"/>
  <c r="A59" i="2" l="1"/>
  <c r="A60" i="2" l="1"/>
  <c r="A61" i="2" l="1"/>
  <c r="A62" i="2" l="1"/>
  <c r="A63" i="2" l="1"/>
  <c r="A64" i="2" l="1"/>
  <c r="A65" i="2" l="1"/>
  <c r="A66" i="2" l="1"/>
  <c r="A67" i="2" s="1"/>
  <c r="A68" i="2" l="1"/>
  <c r="A69" i="2" s="1"/>
  <c r="A70" i="2" l="1"/>
  <c r="A71" i="2" l="1"/>
  <c r="A72" i="2" l="1"/>
  <c r="A73" i="2" s="1"/>
  <c r="A74" i="2" s="1"/>
  <c r="A75" i="2" s="1"/>
  <c r="A76" i="2" s="1"/>
  <c r="A77" i="2" s="1"/>
  <c r="A78" i="2" s="1"/>
  <c r="A79" i="2" l="1"/>
  <c r="A80" i="2" s="1"/>
  <c r="A81" i="2" l="1"/>
  <c r="A82" i="2" s="1"/>
  <c r="A83" i="2" s="1"/>
  <c r="A84" i="2" s="1"/>
  <c r="B364" i="1" l="1"/>
  <c r="B266" i="1"/>
  <c r="B509" i="1"/>
  <c r="B652" i="1"/>
  <c r="B484" i="1"/>
  <c r="B620" i="1"/>
  <c r="B329" i="1"/>
  <c r="B566" i="1"/>
  <c r="B59" i="1"/>
  <c r="B543" i="1"/>
  <c r="B427" i="1"/>
  <c r="B392" i="1"/>
  <c r="B633" i="1"/>
  <c r="B151" i="1"/>
  <c r="B411" i="1"/>
  <c r="B641" i="1"/>
  <c r="B412" i="1"/>
  <c r="B711" i="1"/>
  <c r="B668" i="1"/>
  <c r="B267" i="1"/>
  <c r="B215" i="1"/>
  <c r="B121" i="1"/>
  <c r="B166" i="1"/>
  <c r="B341" i="1"/>
  <c r="B648" i="1"/>
  <c r="B163" i="1"/>
  <c r="B283" i="1"/>
  <c r="B131" i="1"/>
  <c r="B375" i="1"/>
  <c r="B498" i="1"/>
  <c r="B391" i="1"/>
  <c r="B493" i="1"/>
  <c r="B444" i="1"/>
  <c r="B544" i="1"/>
  <c r="B554" i="1"/>
  <c r="B211" i="1"/>
  <c r="B98" i="1"/>
  <c r="B587" i="1"/>
  <c r="B88" i="1"/>
  <c r="B89" i="1"/>
  <c r="B379" i="1"/>
  <c r="B327" i="1"/>
  <c r="B304" i="1"/>
  <c r="B73" i="1"/>
  <c r="B538" i="1"/>
  <c r="B433" i="1"/>
  <c r="B320" i="1"/>
  <c r="B240" i="1"/>
  <c r="B490" i="1"/>
  <c r="B288" i="1"/>
  <c r="B248" i="1"/>
  <c r="B298" i="1"/>
  <c r="B265" i="1"/>
  <c r="B51" i="1"/>
  <c r="B472" i="1"/>
  <c r="B571" i="1"/>
  <c r="B463" i="1"/>
  <c r="B101" i="1"/>
  <c r="B255" i="1"/>
  <c r="B227" i="1"/>
  <c r="B302" i="1"/>
  <c r="B456" i="1"/>
  <c r="B158" i="1"/>
  <c r="B603" i="1"/>
  <c r="B319" i="1"/>
  <c r="B171" i="1"/>
  <c r="B522" i="1"/>
  <c r="B619" i="1"/>
  <c r="B348" i="1"/>
  <c r="B117" i="1"/>
  <c r="B297" i="1"/>
  <c r="B555" i="1"/>
  <c r="B689" i="1"/>
  <c r="B60" i="1"/>
  <c r="B640" i="1"/>
  <c r="B685" i="1"/>
  <c r="B561" i="1"/>
  <c r="B142" i="1"/>
  <c r="B168" i="1"/>
  <c r="B436" i="1"/>
  <c r="B374" i="1"/>
  <c r="B440" i="1"/>
  <c r="B145" i="1"/>
  <c r="B588" i="1"/>
  <c r="B591" i="1"/>
  <c r="B273" i="1"/>
  <c r="B228" i="1"/>
  <c r="B285" i="1"/>
  <c r="B247" i="1"/>
  <c r="B402" i="1"/>
  <c r="B169" i="1"/>
  <c r="B354" i="1"/>
  <c r="B347" i="1"/>
  <c r="B178" i="1"/>
  <c r="B365" i="1"/>
  <c r="B130" i="1"/>
  <c r="B336" i="1"/>
  <c r="B92" i="1"/>
  <c r="B270" i="1"/>
  <c r="B636" i="1"/>
  <c r="B133" i="1"/>
  <c r="B709" i="1"/>
  <c r="B631" i="1"/>
  <c r="B58" i="1"/>
  <c r="B239" i="1"/>
  <c r="B310" i="1"/>
  <c r="B480" i="1"/>
  <c r="B260" i="1"/>
  <c r="B665" i="1"/>
  <c r="B437" i="1"/>
  <c r="B550" i="1"/>
  <c r="B250" i="1"/>
  <c r="B537" i="1"/>
  <c r="B326" i="1"/>
  <c r="B659" i="1"/>
  <c r="B254" i="1"/>
  <c r="B525" i="1"/>
  <c r="B468" i="1"/>
  <c r="B683" i="1"/>
  <c r="B694" i="1"/>
  <c r="B105" i="1"/>
  <c r="B461" i="1"/>
  <c r="B277" i="1"/>
  <c r="B125" i="1"/>
  <c r="B676" i="1"/>
  <c r="B515" i="1"/>
  <c r="B523" i="1"/>
  <c r="B123" i="1"/>
  <c r="B237" i="1"/>
  <c r="B481" i="1"/>
  <c r="B395" i="1"/>
  <c r="B216" i="1"/>
  <c r="B358" i="1"/>
  <c r="B532" i="1"/>
  <c r="B534" i="1"/>
  <c r="B256" i="1"/>
  <c r="B71" i="1"/>
  <c r="B52" i="1"/>
  <c r="B231" i="1"/>
  <c r="B386" i="1"/>
  <c r="B662" i="1"/>
  <c r="B664" i="1"/>
  <c r="B718" i="1"/>
  <c r="B112" i="1"/>
  <c r="B81" i="1"/>
  <c r="B64" i="1"/>
  <c r="B680" i="1"/>
  <c r="B317" i="1"/>
  <c r="B693" i="1"/>
  <c r="B669" i="1"/>
  <c r="B301" i="1"/>
  <c r="B418" i="1"/>
  <c r="B199" i="1"/>
  <c r="B558" i="1"/>
  <c r="B70" i="1"/>
  <c r="B570" i="1"/>
  <c r="B435" i="1"/>
  <c r="B407" i="1"/>
  <c r="B370" i="1"/>
  <c r="B359" i="1"/>
  <c r="B222" i="1"/>
  <c r="B646" i="1"/>
  <c r="B196" i="1"/>
  <c r="B140" i="1"/>
  <c r="B269" i="1"/>
  <c r="B134" i="1"/>
  <c r="B466" i="1"/>
  <c r="B387" i="1"/>
  <c r="B487" i="1"/>
  <c r="B54" i="1"/>
  <c r="B637" i="1"/>
  <c r="B424" i="1"/>
  <c r="B308" i="1"/>
  <c r="B446" i="1"/>
  <c r="B497" i="1"/>
  <c r="B608" i="1"/>
  <c r="B677" i="1"/>
  <c r="B152" i="1"/>
  <c r="B551" i="1"/>
  <c r="B114" i="1"/>
  <c r="B696" i="1"/>
  <c r="B276" i="1"/>
  <c r="B712" i="1"/>
  <c r="B516" i="1"/>
  <c r="B338" i="1"/>
  <c r="B195" i="1"/>
  <c r="B179" i="1"/>
  <c r="B102" i="1"/>
  <c r="B642" i="1"/>
  <c r="B362" i="1"/>
  <c r="B719" i="1"/>
  <c r="B623" i="1"/>
  <c r="B500" i="1"/>
  <c r="B162" i="1"/>
  <c r="B583" i="1"/>
  <c r="B465" i="1"/>
  <c r="B106" i="1"/>
  <c r="B582" i="1"/>
  <c r="B294" i="1"/>
  <c r="B284" i="1"/>
  <c r="B220" i="1"/>
  <c r="B452" i="1"/>
  <c r="B686" i="1"/>
  <c r="B560" i="1"/>
  <c r="B661" i="1"/>
  <c r="B124" i="1"/>
  <c r="B146" i="1"/>
  <c r="B384" i="1"/>
  <c r="B80" i="1"/>
  <c r="B190" i="1"/>
  <c r="B721" i="1"/>
  <c r="B77" i="1"/>
  <c r="B657" i="1"/>
  <c r="B469" i="1"/>
  <c r="B206" i="1"/>
  <c r="B342" i="1"/>
  <c r="B244" i="1"/>
  <c r="B513" i="1"/>
  <c r="B473" i="1"/>
  <c r="B74" i="1"/>
  <c r="B598" i="1"/>
  <c r="B87" i="1"/>
  <c r="B243" i="1"/>
  <c r="B431" i="1"/>
  <c r="B491" i="1"/>
  <c r="B579" i="1"/>
  <c r="B350" i="1"/>
  <c r="B593" i="1"/>
  <c r="B576" i="1"/>
  <c r="B429" i="1"/>
  <c r="B154" i="1"/>
  <c r="B710" i="1"/>
  <c r="B272" i="1"/>
  <c r="B383" i="1"/>
  <c r="B155" i="1"/>
  <c r="B556" i="1"/>
  <c r="B268" i="1"/>
  <c r="B109" i="1"/>
  <c r="B454" i="1"/>
  <c r="B346" i="1"/>
  <c r="B559" i="1"/>
  <c r="B229" i="1"/>
  <c r="B170" i="1"/>
  <c r="B660" i="1"/>
  <c r="B307" i="1"/>
  <c r="B241" i="1"/>
  <c r="B332" i="1"/>
  <c r="B399" i="1"/>
  <c r="B316" i="1"/>
  <c r="B691" i="1"/>
  <c r="B368" i="1"/>
  <c r="B378" i="1"/>
  <c r="B181" i="1"/>
  <c r="B363" i="1"/>
  <c r="B483" i="1"/>
  <c r="B207" i="1"/>
  <c r="B586" i="1"/>
  <c r="B604" i="1"/>
  <c r="B315" i="1"/>
  <c r="B281" i="1"/>
  <c r="B100" i="1"/>
  <c r="B369" i="1"/>
  <c r="B442" i="1"/>
  <c r="B282" i="1"/>
  <c r="B328" i="1"/>
  <c r="B595" i="1"/>
  <c r="B682" i="1"/>
  <c r="B596" i="1"/>
  <c r="B396" i="1"/>
  <c r="B609" i="1"/>
  <c r="B337" i="1"/>
  <c r="B224" i="1"/>
  <c r="B545" i="1"/>
  <c r="B517" i="1"/>
  <c r="B714" i="1"/>
  <c r="B405" i="1"/>
  <c r="B203" i="1"/>
  <c r="B416" i="1"/>
  <c r="B110" i="1"/>
  <c r="B624" i="1"/>
  <c r="B361" i="1"/>
  <c r="B306" i="1"/>
  <c r="B489" i="1"/>
  <c r="B606" i="1"/>
  <c r="B150" i="1"/>
  <c r="B132" i="1"/>
  <c r="B580" i="1"/>
  <c r="B565" i="1"/>
  <c r="B597" i="1"/>
  <c r="B592" i="1"/>
  <c r="B300" i="1"/>
  <c r="B156" i="1"/>
  <c r="B103" i="1"/>
  <c r="B506" i="1"/>
  <c r="B381" i="1"/>
  <c r="B707" i="1"/>
  <c r="B649" i="1"/>
  <c r="B528" i="1"/>
  <c r="B655" i="1"/>
  <c r="B189" i="1"/>
  <c r="B670" i="1"/>
  <c r="B279" i="1"/>
  <c r="B345" i="1"/>
  <c r="B471" i="1"/>
  <c r="B119" i="1"/>
  <c r="B658" i="1"/>
  <c r="B681" i="1"/>
  <c r="B638" i="1"/>
  <c r="B415" i="1"/>
  <c r="B86" i="1"/>
  <c r="B148" i="1"/>
  <c r="B135" i="1"/>
  <c r="B116" i="1"/>
  <c r="B553" i="1"/>
  <c r="B451" i="1"/>
  <c r="B678" i="1"/>
  <c r="B257" i="1"/>
  <c r="B165" i="1"/>
  <c r="B548" i="1"/>
  <c r="B409" i="1"/>
  <c r="B511" i="1"/>
  <c r="B303" i="1"/>
  <c r="B531" i="1"/>
  <c r="B143" i="1"/>
  <c r="B549" i="1"/>
  <c r="B567" i="1"/>
  <c r="B200" i="1"/>
  <c r="B524" i="1"/>
  <c r="B720" i="1"/>
  <c r="B173" i="1"/>
  <c r="B388" i="1"/>
  <c r="B501" i="1"/>
  <c r="B82" i="1"/>
  <c r="B335" i="1"/>
  <c r="B292" i="1"/>
  <c r="B214" i="1"/>
  <c r="B271" i="1"/>
  <c r="B356" i="1"/>
  <c r="B263" i="1"/>
  <c r="B389" i="1"/>
  <c r="B197" i="1"/>
  <c r="B394" i="1"/>
  <c r="B209" i="1"/>
  <c r="B530" i="1"/>
  <c r="B512" i="1"/>
  <c r="B280" i="1"/>
  <c r="B331" i="1"/>
  <c r="B485" i="1"/>
  <c r="B293" i="1"/>
  <c r="B423" i="1"/>
  <c r="B723" i="1"/>
  <c r="B634" i="1"/>
  <c r="B584" i="1"/>
  <c r="B324" i="1"/>
  <c r="B403" i="1"/>
  <c r="B264" i="1"/>
  <c r="B333" i="1"/>
  <c r="B563" i="1"/>
  <c r="B136" i="1"/>
  <c r="B612" i="1"/>
  <c r="B611" i="1"/>
  <c r="B679" i="1"/>
  <c r="B129" i="1"/>
  <c r="B698" i="1"/>
  <c r="B205" i="1"/>
  <c r="B605" i="1"/>
  <c r="B245" i="1"/>
  <c r="B236" i="1"/>
  <c r="B438" i="1"/>
  <c r="B672" i="1"/>
  <c r="B630" i="1"/>
  <c r="B115" i="1"/>
  <c r="B430" i="1"/>
  <c r="B700" i="1"/>
  <c r="B462" i="1"/>
  <c r="B613" i="1"/>
  <c r="B650" i="1"/>
  <c r="B212" i="1"/>
  <c r="B393" i="1"/>
  <c r="B503" i="1"/>
  <c r="B464" i="1"/>
  <c r="B291" i="1"/>
  <c r="B607" i="1"/>
  <c r="B175" i="1"/>
  <c r="B164" i="1"/>
  <c r="B692" i="1"/>
  <c r="B274" i="1"/>
  <c r="B75" i="1"/>
  <c r="B213" i="1"/>
  <c r="B147" i="1"/>
  <c r="B193" i="1"/>
  <c r="B684" i="1"/>
  <c r="B514" i="1"/>
  <c r="B404" i="1"/>
  <c r="B72" i="1"/>
  <c r="B717" i="1"/>
  <c r="B382" i="1"/>
  <c r="B671" i="1"/>
  <c r="B674" i="1"/>
  <c r="B445" i="1"/>
  <c r="B218" i="1"/>
  <c r="B439" i="1"/>
  <c r="B290" i="1"/>
  <c r="B601" i="1"/>
  <c r="B126" i="1"/>
  <c r="B615" i="1"/>
  <c r="B448" i="1"/>
  <c r="B183" i="1"/>
  <c r="B137" i="1"/>
  <c r="B527" i="1"/>
  <c r="B376" i="1"/>
  <c r="B90" i="1"/>
  <c r="B535" i="1"/>
  <c r="B187" i="1"/>
  <c r="B557" i="1"/>
  <c r="B344" i="1"/>
  <c r="B377" i="1"/>
  <c r="B704" i="1"/>
  <c r="B453" i="1"/>
  <c r="B217" i="1"/>
  <c r="B449" i="1"/>
  <c r="B321" i="1"/>
  <c r="B314" i="1"/>
  <c r="B157" i="1"/>
  <c r="B343" i="1"/>
  <c r="B675" i="1"/>
  <c r="B242" i="1"/>
  <c r="B108" i="1"/>
  <c r="B367" i="1"/>
  <c r="B492" i="1"/>
  <c r="B420" i="1"/>
  <c r="B96" i="1"/>
  <c r="B330" i="1"/>
  <c r="B380" i="1"/>
  <c r="B562" i="1"/>
  <c r="B699" i="1"/>
  <c r="B107" i="1"/>
  <c r="B202" i="1"/>
  <c r="B536" i="1"/>
  <c r="B467" i="1"/>
  <c r="B628" i="1"/>
  <c r="B390" i="1"/>
  <c r="B673" i="1"/>
  <c r="B400" i="1"/>
  <c r="B174" i="1"/>
  <c r="B594" i="1"/>
  <c r="B478" i="1"/>
  <c r="B518" i="1"/>
  <c r="B325" i="1"/>
  <c r="B510" i="1"/>
  <c r="B161" i="1"/>
  <c r="B93" i="1"/>
  <c r="B253" i="1"/>
  <c r="B521" i="1"/>
  <c r="B149" i="1"/>
  <c r="B234" i="1"/>
  <c r="B577" i="1"/>
  <c r="B459" i="1"/>
  <c r="B153" i="1"/>
  <c r="B366" i="1"/>
  <c r="B104" i="1"/>
  <c r="B83" i="1"/>
  <c r="B585" i="1"/>
  <c r="B425" i="1"/>
  <c r="B477" i="1"/>
  <c r="B138" i="1"/>
  <c r="B651" i="1"/>
  <c r="B258" i="1"/>
  <c r="B318" i="1"/>
  <c r="B552" i="1"/>
  <c r="B539" i="1"/>
  <c r="B688" i="1"/>
  <c r="B91" i="1"/>
  <c r="B564" i="1"/>
  <c r="B208" i="1"/>
  <c r="B507" i="1"/>
  <c r="B144" i="1"/>
  <c r="B351" i="1"/>
  <c r="B600" i="1"/>
  <c r="B238" i="1"/>
  <c r="B322" i="1"/>
  <c r="B568" i="1"/>
  <c r="B617" i="1"/>
  <c r="B198" i="1"/>
  <c r="B261" i="1"/>
  <c r="B667" i="1"/>
  <c r="B235" i="1"/>
  <c r="B457" i="1"/>
  <c r="B432" i="1"/>
  <c r="B204" i="1"/>
  <c r="B120" i="1"/>
  <c r="B618" i="1"/>
  <c r="B529" i="1"/>
  <c r="B479" i="1"/>
  <c r="B542" i="1"/>
  <c r="B159" i="1"/>
  <c r="B706" i="1"/>
  <c r="B450" i="1"/>
  <c r="B219" i="1"/>
  <c r="B520" i="1"/>
  <c r="B312" i="1"/>
  <c r="B373" i="1"/>
  <c r="B95" i="1"/>
  <c r="B701" i="1"/>
  <c r="B232" i="1"/>
  <c r="B504" i="1"/>
  <c r="B599" i="1"/>
  <c r="B533" i="1"/>
  <c r="B629" i="1"/>
  <c r="B627" i="1"/>
  <c r="B349" i="1"/>
  <c r="B546" i="1"/>
  <c r="B645" i="1"/>
  <c r="B572" i="1"/>
  <c r="B610" i="1"/>
  <c r="B470" i="1"/>
  <c r="B663" i="1"/>
  <c r="B713" i="1"/>
  <c r="B421" i="1"/>
  <c r="B246" i="1"/>
  <c r="B76" i="1"/>
  <c r="B502" i="1"/>
  <c r="B414" i="1"/>
  <c r="B410" i="1"/>
  <c r="B716" i="1"/>
  <c r="B632" i="1"/>
  <c r="B289" i="1"/>
  <c r="B259" i="1"/>
  <c r="B639" i="1"/>
  <c r="B474" i="1"/>
  <c r="B653" i="1"/>
  <c r="B447" i="1"/>
  <c r="B192" i="1"/>
  <c r="B339" i="1"/>
  <c r="B94" i="1"/>
  <c r="B475" i="1"/>
  <c r="B184" i="1"/>
  <c r="B141" i="1"/>
  <c r="B188" i="1"/>
  <c r="B182" i="1"/>
  <c r="B127" i="1"/>
  <c r="B226" i="1"/>
  <c r="B488" i="1"/>
  <c r="B690" i="1"/>
  <c r="B482" i="1"/>
  <c r="B278" i="1"/>
  <c r="B644" i="1"/>
  <c r="B687" i="1"/>
  <c r="B360" i="1"/>
  <c r="B458" i="1"/>
  <c r="B262" i="1"/>
  <c r="B194" i="1"/>
  <c r="B299" i="1"/>
  <c r="B441" i="1"/>
  <c r="B286" i="1"/>
  <c r="B305" i="1"/>
  <c r="B309" i="1"/>
  <c r="B172" i="1"/>
  <c r="B547" i="1"/>
  <c r="B422" i="1"/>
  <c r="B702" i="1"/>
  <c r="B355" i="1"/>
  <c r="B180" i="1"/>
  <c r="B426" i="1"/>
  <c r="B275" i="1"/>
  <c r="B540" i="1"/>
  <c r="B113" i="1"/>
  <c r="B578" i="1"/>
  <c r="B722" i="1"/>
  <c r="B230" i="1"/>
  <c r="B323" i="1"/>
  <c r="B128" i="1"/>
  <c r="B635" i="1"/>
  <c r="B233" i="1"/>
  <c r="B340" i="1"/>
  <c r="B574" i="1"/>
  <c r="B191" i="1"/>
  <c r="B419" i="1"/>
  <c r="B656" i="1"/>
  <c r="B654" i="1"/>
  <c r="B296" i="1"/>
  <c r="B249" i="1"/>
  <c r="B122" i="1"/>
  <c r="B79" i="1"/>
  <c r="B505" i="1"/>
  <c r="B443" i="1"/>
  <c r="B541" i="1"/>
  <c r="B223" i="1"/>
  <c r="B575" i="1"/>
  <c r="B569" i="1"/>
  <c r="B201" i="1"/>
  <c r="B221" i="1"/>
  <c r="B417" i="1"/>
  <c r="B177" i="1"/>
  <c r="B519" i="1"/>
  <c r="B666" i="1"/>
  <c r="B705" i="1"/>
  <c r="B695" i="1"/>
  <c r="B581" i="1"/>
  <c r="B697" i="1"/>
  <c r="B84" i="1"/>
  <c r="B455" i="1"/>
  <c r="B616" i="1"/>
  <c r="B287" i="1"/>
  <c r="B625" i="1"/>
  <c r="B614" i="1"/>
  <c r="B99" i="1"/>
  <c r="B251" i="1"/>
  <c r="B295" i="1"/>
  <c r="B602" i="1"/>
  <c r="B647" i="1"/>
  <c r="B357" i="1"/>
  <c r="B111" i="1"/>
  <c r="B589" i="1"/>
  <c r="B413" i="1"/>
  <c r="B573" i="1"/>
  <c r="B495" i="1"/>
  <c r="B408" i="1"/>
  <c r="B626" i="1"/>
  <c r="B476" i="1"/>
  <c r="B406" i="1"/>
  <c r="B160" i="1"/>
  <c r="B311" i="1"/>
  <c r="B401" i="1"/>
  <c r="B352" i="1"/>
  <c r="B97" i="1"/>
  <c r="B703" i="1"/>
  <c r="B428" i="1"/>
  <c r="B708" i="1"/>
  <c r="B715" i="1"/>
  <c r="B494" i="1"/>
  <c r="B621" i="1"/>
  <c r="B210" i="1"/>
  <c r="B353" i="1"/>
  <c r="B313" i="1"/>
  <c r="B622" i="1"/>
  <c r="B118" i="1"/>
  <c r="B334" i="1"/>
  <c r="B460" i="1"/>
  <c r="B167" i="1"/>
  <c r="B372" i="1"/>
  <c r="B78" i="1"/>
  <c r="B139" i="1"/>
  <c r="B496" i="1"/>
  <c r="B590" i="1"/>
  <c r="B398" i="1"/>
  <c r="B499" i="1"/>
  <c r="B252" i="1"/>
  <c r="B371" i="1"/>
  <c r="B434" i="1"/>
  <c r="B385" i="1"/>
  <c r="B643" i="1"/>
  <c r="B176" i="1"/>
  <c r="B486" i="1"/>
  <c r="B185" i="1"/>
  <c r="B508" i="1"/>
  <c r="B85" i="1"/>
  <c r="B526" i="1"/>
  <c r="B397" i="1"/>
  <c r="B225" i="1"/>
  <c r="B186" i="1"/>
</calcChain>
</file>

<file path=xl/sharedStrings.xml><?xml version="1.0" encoding="utf-8"?>
<sst xmlns="http://schemas.openxmlformats.org/spreadsheetml/2006/main" count="9636" uniqueCount="2682">
  <si>
    <t>modnum</t>
  </si>
  <si>
    <t>modname</t>
  </si>
  <si>
    <t>species</t>
  </si>
  <si>
    <t>query</t>
  </si>
  <si>
    <t>og_name</t>
  </si>
  <si>
    <t>sedar_spabb</t>
  </si>
  <si>
    <t>class</t>
  </si>
  <si>
    <t>order</t>
  </si>
  <si>
    <t>family</t>
  </si>
  <si>
    <t>genus</t>
  </si>
  <si>
    <t>FBname</t>
  </si>
  <si>
    <t>M</t>
  </si>
  <si>
    <t>QB</t>
  </si>
  <si>
    <t>Lmax</t>
  </si>
  <si>
    <t>TL</t>
  </si>
  <si>
    <t>Vul</t>
  </si>
  <si>
    <t>AR</t>
  </si>
  <si>
    <t>NearOff</t>
  </si>
  <si>
    <t>DemPel</t>
  </si>
  <si>
    <t>ReefSurv</t>
  </si>
  <si>
    <t>fish</t>
  </si>
  <si>
    <t>benthcrust</t>
  </si>
  <si>
    <t>detritus</t>
  </si>
  <si>
    <t>plants</t>
  </si>
  <si>
    <t>cephalopods</t>
  </si>
  <si>
    <t>cnidarians</t>
  </si>
  <si>
    <t>otherinverts</t>
  </si>
  <si>
    <t>zooplankton</t>
  </si>
  <si>
    <t>softbottom</t>
  </si>
  <si>
    <t>hardbottom</t>
  </si>
  <si>
    <t>veg</t>
  </si>
  <si>
    <t>coral</t>
  </si>
  <si>
    <t>smp.tr</t>
  </si>
  <si>
    <t>smp.bl</t>
  </si>
  <si>
    <t>smp.vl</t>
  </si>
  <si>
    <t>nmfs.bll</t>
  </si>
  <si>
    <t>fwc.vid</t>
  </si>
  <si>
    <t>fwc.ins</t>
  </si>
  <si>
    <t>fwc.bfc</t>
  </si>
  <si>
    <t>rov</t>
  </si>
  <si>
    <t>mrip</t>
  </si>
  <si>
    <t>hb</t>
  </si>
  <si>
    <t>com</t>
  </si>
  <si>
    <t>Carcharhinus plumbeus</t>
  </si>
  <si>
    <t>CARCHARHINUS PLUMBEUS</t>
  </si>
  <si>
    <t>Chondrichthyes</t>
  </si>
  <si>
    <t>Carcharhiniformes</t>
  </si>
  <si>
    <t>Carcharhinidae</t>
  </si>
  <si>
    <t>Carcharhinus</t>
  </si>
  <si>
    <t>Sandbar shark</t>
  </si>
  <si>
    <t>nearshore</t>
  </si>
  <si>
    <t>pelagic</t>
  </si>
  <si>
    <t>Galeocerdo cuvier</t>
  </si>
  <si>
    <t>GALEOCERDO CUVIER</t>
  </si>
  <si>
    <t>Galeocerdo</t>
  </si>
  <si>
    <t>Tiger shark</t>
  </si>
  <si>
    <t>GALEOCERDO CUVIERI</t>
  </si>
  <si>
    <t>Sphyrna lewini</t>
  </si>
  <si>
    <t>SPHYRNA LEWINI</t>
  </si>
  <si>
    <t>Sphyrnidae</t>
  </si>
  <si>
    <t>Sphyrna</t>
  </si>
  <si>
    <t>Scalloped hammerhead</t>
  </si>
  <si>
    <t>Sphyrna mokarran</t>
  </si>
  <si>
    <t>SPHYRNA MOKARRAN</t>
  </si>
  <si>
    <t>Great hammerhead</t>
  </si>
  <si>
    <t>Mustelus sinusmexicanus</t>
  </si>
  <si>
    <t>MUSTELUS SINUSMEXICANUS</t>
  </si>
  <si>
    <t>Triakidae</t>
  </si>
  <si>
    <t>Mustelus</t>
  </si>
  <si>
    <t>Gulf smoothhound</t>
  </si>
  <si>
    <t>offshore</t>
  </si>
  <si>
    <t/>
  </si>
  <si>
    <t>CHONDRICHTHYES</t>
  </si>
  <si>
    <t>SHARKS</t>
  </si>
  <si>
    <t>Carcharhinus acronotus</t>
  </si>
  <si>
    <t>CARCHARHINUS ACRONOTUS</t>
  </si>
  <si>
    <t>Blacknose shark</t>
  </si>
  <si>
    <t>reef-associated</t>
  </si>
  <si>
    <t>Carcharhinus brevipinna</t>
  </si>
  <si>
    <t>CARCHARHINUS BREVIPINNA</t>
  </si>
  <si>
    <t>Spinner shark</t>
  </si>
  <si>
    <t>Carcharhinus falciformis</t>
  </si>
  <si>
    <t>CARCHARHINUS FALCIFORMIS</t>
  </si>
  <si>
    <t>Silky shark</t>
  </si>
  <si>
    <t>Carcharhinus leucas</t>
  </si>
  <si>
    <t>CARCHARHINUS LEUCAS</t>
  </si>
  <si>
    <t>Bull shark</t>
  </si>
  <si>
    <t>Carcharhinus limbatus</t>
  </si>
  <si>
    <t>CARCHARHINUS LIMBATUS</t>
  </si>
  <si>
    <t>Blacktip shark</t>
  </si>
  <si>
    <t>CARCHARHINUS</t>
  </si>
  <si>
    <t>CARCHARHINUS SP.</t>
  </si>
  <si>
    <t>large demersal sharks</t>
  </si>
  <si>
    <t>NEGAPRION BREVIROSTRIS</t>
  </si>
  <si>
    <t>Negaprion</t>
  </si>
  <si>
    <t>Negaprion brevirostris</t>
  </si>
  <si>
    <t>CARCHARHINIDAE</t>
  </si>
  <si>
    <t>Ginglymostoma cirratum</t>
  </si>
  <si>
    <t>GINGLYMOSTOMA CIRRATUM</t>
  </si>
  <si>
    <t>Orectolobiformes</t>
  </si>
  <si>
    <t>Ginglymostomatidae</t>
  </si>
  <si>
    <t>Ginglymostoma</t>
  </si>
  <si>
    <t>Nurse shark</t>
  </si>
  <si>
    <t>RAJIFORMES</t>
  </si>
  <si>
    <t>Rajiformes</t>
  </si>
  <si>
    <t>RAYS</t>
  </si>
  <si>
    <t>Carcharhinus isodon</t>
  </si>
  <si>
    <t>CARCHARHINUS ISODON</t>
  </si>
  <si>
    <t>Finetooth shark</t>
  </si>
  <si>
    <t>demersal</t>
  </si>
  <si>
    <t>Rhizoprionodon terraenovae</t>
  </si>
  <si>
    <t>RHIZOPRIONODON TERRAENOVAE</t>
  </si>
  <si>
    <t>Rhizoprionodon</t>
  </si>
  <si>
    <t>Atlantic sharpnose shark</t>
  </si>
  <si>
    <t>BATHYTOSHIA CENTROURA</t>
  </si>
  <si>
    <t>Myliobatiformes</t>
  </si>
  <si>
    <t>Dasyatidae</t>
  </si>
  <si>
    <t>Bathytoshia</t>
  </si>
  <si>
    <t>Bathytoshia centroura</t>
  </si>
  <si>
    <t>Dasyatis americana</t>
  </si>
  <si>
    <t>DASYATIS AMERICANA</t>
  </si>
  <si>
    <t>Dasyatis</t>
  </si>
  <si>
    <t>Southern stingray</t>
  </si>
  <si>
    <t>Dasyatis centroura</t>
  </si>
  <si>
    <t>DASYATIS CENTROURA</t>
  </si>
  <si>
    <t>Roughtail stingray</t>
  </si>
  <si>
    <t>Dasyatis sabina</t>
  </si>
  <si>
    <t>DASYATIS SABINA</t>
  </si>
  <si>
    <t>Atlantic stingray</t>
  </si>
  <si>
    <t>HYPANUS SAY</t>
  </si>
  <si>
    <t>Dasyatis say</t>
  </si>
  <si>
    <t>DASYATIS SAY</t>
  </si>
  <si>
    <t>HYPANUS AMERICANUS</t>
  </si>
  <si>
    <t>Hypanus</t>
  </si>
  <si>
    <t>Hypanus americanus</t>
  </si>
  <si>
    <t>HYPANUS SABINUS</t>
  </si>
  <si>
    <t>Hypanus sabinus</t>
  </si>
  <si>
    <t>Gymnura micrura</t>
  </si>
  <si>
    <t>GYMNURA MICRURA</t>
  </si>
  <si>
    <t>Gymnuridae</t>
  </si>
  <si>
    <t>Gymnura</t>
  </si>
  <si>
    <t>Smooth butterfly ray</t>
  </si>
  <si>
    <t>GYMNURA LESSAE</t>
  </si>
  <si>
    <t>Gymnura lessae</t>
  </si>
  <si>
    <t>Aetobatus narinari</t>
  </si>
  <si>
    <t>AETOBATUS NARINARI</t>
  </si>
  <si>
    <t>Myliobatidae</t>
  </si>
  <si>
    <t>Aetobatus</t>
  </si>
  <si>
    <t>Myliobatis freminvillii</t>
  </si>
  <si>
    <t>MYLIOBATIS FREMINVILLII</t>
  </si>
  <si>
    <t>Myliobatis</t>
  </si>
  <si>
    <t>Myliobatis freminvillei</t>
  </si>
  <si>
    <t>MYLIOBATIS FREMINVILLEI</t>
  </si>
  <si>
    <t>RHINOPTERA BONASUS</t>
  </si>
  <si>
    <t>Rhinoptera</t>
  </si>
  <si>
    <t>Rhinoptera bonasus</t>
  </si>
  <si>
    <t>Raja eglanteria</t>
  </si>
  <si>
    <t>RAJA EGLANTERIA</t>
  </si>
  <si>
    <t>Rajidae</t>
  </si>
  <si>
    <t>Raja</t>
  </si>
  <si>
    <t>Clearnose skate</t>
  </si>
  <si>
    <t>Raja texana</t>
  </si>
  <si>
    <t>RAJA TEXANA</t>
  </si>
  <si>
    <t>Roundel skate</t>
  </si>
  <si>
    <t>ROSTRORAJA EGLANTERIA</t>
  </si>
  <si>
    <t>Rostroraja</t>
  </si>
  <si>
    <t>Rostroraja eglanteria</t>
  </si>
  <si>
    <t>Rhinobatos lentiginosus</t>
  </si>
  <si>
    <t>RHINOBATOS LENTIGINOSUS</t>
  </si>
  <si>
    <t>Rhinobatiformes</t>
  </si>
  <si>
    <t>Rhinobatidae</t>
  </si>
  <si>
    <t>Rhinobatos</t>
  </si>
  <si>
    <t>Atlantic guitarfish</t>
  </si>
  <si>
    <t>Sphyrna tiburo</t>
  </si>
  <si>
    <t>SPHYRNA TIBURO</t>
  </si>
  <si>
    <t>Bonnethead</t>
  </si>
  <si>
    <t>Squalus cubensis</t>
  </si>
  <si>
    <t>SQUALUS CUBENSIS</t>
  </si>
  <si>
    <t>Squaliformes</t>
  </si>
  <si>
    <t>Squalidae</t>
  </si>
  <si>
    <t>Squalus</t>
  </si>
  <si>
    <t>Cuban dogfish</t>
  </si>
  <si>
    <t>Squalus mitsukurii</t>
  </si>
  <si>
    <t>SQUALUS MITSUKURII</t>
  </si>
  <si>
    <t>Mustelus canis</t>
  </si>
  <si>
    <t>MUSTELUS CANIS</t>
  </si>
  <si>
    <t>Dusky smooth-hound</t>
  </si>
  <si>
    <t>Mustelus mustelus</t>
  </si>
  <si>
    <t>MUSTELUS MUSTELUS</t>
  </si>
  <si>
    <t>Mustelus norrisi</t>
  </si>
  <si>
    <t>MUSTELUS NORRISI</t>
  </si>
  <si>
    <t>Narrowfin smooth-hound</t>
  </si>
  <si>
    <t>MUSTELUS</t>
  </si>
  <si>
    <t>Hemicaranx amblyrhynchus</t>
  </si>
  <si>
    <t>HEMICARANX AMBLYRHYNCHUS</t>
  </si>
  <si>
    <t>Actinopterygii</t>
  </si>
  <si>
    <t>Perciformes</t>
  </si>
  <si>
    <t>Carangidae</t>
  </si>
  <si>
    <t>Hemicaranx</t>
  </si>
  <si>
    <t>Bluntnose jack</t>
  </si>
  <si>
    <t>Seriola rivoliana</t>
  </si>
  <si>
    <t>SERIOLA RIVOLIANA</t>
  </si>
  <si>
    <t>Seriola</t>
  </si>
  <si>
    <t>Longfin yellowtail</t>
  </si>
  <si>
    <t>Seriola zonata</t>
  </si>
  <si>
    <t>SERIOLA ZONATA</t>
  </si>
  <si>
    <t>Banded rudderfish</t>
  </si>
  <si>
    <t>SERIOLA</t>
  </si>
  <si>
    <t>SERIOLA SPP.</t>
  </si>
  <si>
    <t>Carangiformes</t>
  </si>
  <si>
    <t>CORYPHAENA</t>
  </si>
  <si>
    <t>Coryphaenidae</t>
  </si>
  <si>
    <t>Coryphaena</t>
  </si>
  <si>
    <t>DOLPHINFISH</t>
  </si>
  <si>
    <t>Coryphaena hippurus</t>
  </si>
  <si>
    <t>CORYPHAENA HIPPURUS</t>
  </si>
  <si>
    <t>Common dolphinfish</t>
  </si>
  <si>
    <t>Istiophorus platypterus</t>
  </si>
  <si>
    <t>ISTIOPHORUS PLATYPTERUS</t>
  </si>
  <si>
    <t>Istiophoridae</t>
  </si>
  <si>
    <t>Istiophorus</t>
  </si>
  <si>
    <t>Indo-Pacific sailfish</t>
  </si>
  <si>
    <t>Euthynnus alletteratus</t>
  </si>
  <si>
    <t>EUTHYNNUS ALLETTERATUS</t>
  </si>
  <si>
    <t>Scombridae</t>
  </si>
  <si>
    <t>Euthynnus</t>
  </si>
  <si>
    <t>Little tunny</t>
  </si>
  <si>
    <t>Sarda sarda</t>
  </si>
  <si>
    <t>SARDA SARDA</t>
  </si>
  <si>
    <t>Sarda</t>
  </si>
  <si>
    <t>Atlantic bonito</t>
  </si>
  <si>
    <t>0</t>
  </si>
  <si>
    <t>SCOMBER</t>
  </si>
  <si>
    <t>Scombriformes</t>
  </si>
  <si>
    <t>Scomber</t>
  </si>
  <si>
    <t>MACKEREL (SCOMBER)</t>
  </si>
  <si>
    <t>Scomber colias</t>
  </si>
  <si>
    <t>SCOMBER COLIAS</t>
  </si>
  <si>
    <t>Atlantic chub mackerel</t>
  </si>
  <si>
    <t>Scomber japonicus</t>
  </si>
  <si>
    <t>SCOMBER JAPONICUS</t>
  </si>
  <si>
    <t>Actinopteri</t>
  </si>
  <si>
    <t>Scomberomorus regalis</t>
  </si>
  <si>
    <t>SCOMBEROMORUS REGALIS</t>
  </si>
  <si>
    <t>Scomberomorus</t>
  </si>
  <si>
    <t>Cero</t>
  </si>
  <si>
    <t>SCOMBEROMORUS</t>
  </si>
  <si>
    <t>SCOMBEROMORUS SPP.</t>
  </si>
  <si>
    <t>Thunnus albacares</t>
  </si>
  <si>
    <t>THUNNUS ALBACARES</t>
  </si>
  <si>
    <t>Thunnus</t>
  </si>
  <si>
    <t>Yellowfin tuna</t>
  </si>
  <si>
    <t>Thunnus atlanticus</t>
  </si>
  <si>
    <t>THUNNUS ATLANTICUS</t>
  </si>
  <si>
    <t>Blackfin tuna</t>
  </si>
  <si>
    <t>SCOMBRIDAE</t>
  </si>
  <si>
    <t>SCOMBRIDAE SPP.</t>
  </si>
  <si>
    <t>SCOMBRIDAE    MACKERELS</t>
  </si>
  <si>
    <t>SCOMBRIDAE SPP...MACKERELS.</t>
  </si>
  <si>
    <t>Sphyraena barracuda</t>
  </si>
  <si>
    <t>SPHYRAENA BARRACUDA</t>
  </si>
  <si>
    <t>Sphyraenidae</t>
  </si>
  <si>
    <t>Sphyraena</t>
  </si>
  <si>
    <t>Great barracuda</t>
  </si>
  <si>
    <t>Sphyraena borealis</t>
  </si>
  <si>
    <t>SPHYRAENA BOREALIS</t>
  </si>
  <si>
    <t>Northern sennet</t>
  </si>
  <si>
    <t>Sphyraena guachancho</t>
  </si>
  <si>
    <t>SPHYRAENA GUACHANCHO</t>
  </si>
  <si>
    <t>Guachanche barracuda</t>
  </si>
  <si>
    <t>Xiphias gladius</t>
  </si>
  <si>
    <t>XIPHIAS GLADIUS</t>
  </si>
  <si>
    <t>Xiphiidae</t>
  </si>
  <si>
    <t>Xiphias</t>
  </si>
  <si>
    <t>Swordfish</t>
  </si>
  <si>
    <t>Scomberomorus cavalla</t>
  </si>
  <si>
    <t>SCOMBEROMORUS CAVALLA</t>
  </si>
  <si>
    <t>KMAC</t>
  </si>
  <si>
    <t>King mackerel</t>
  </si>
  <si>
    <t>Scomberomorus maculatus</t>
  </si>
  <si>
    <t>SCOMBEROMORUS MACULATUS</t>
  </si>
  <si>
    <t>SMAC</t>
  </si>
  <si>
    <t>Atlantic Spanish mackerel</t>
  </si>
  <si>
    <t>Rachycentron canadum</t>
  </si>
  <si>
    <t>RACHYCENTRON CANADUM</t>
  </si>
  <si>
    <t>COB</t>
  </si>
  <si>
    <t>Rachycentridae</t>
  </si>
  <si>
    <t>Rachycentron</t>
  </si>
  <si>
    <t>Cobia</t>
  </si>
  <si>
    <t>Seriola dumerili</t>
  </si>
  <si>
    <t>SERIOLA DUMERILI</t>
  </si>
  <si>
    <t>GAJ</t>
  </si>
  <si>
    <t>Greater amberjack</t>
  </si>
  <si>
    <t>Lutjanus campechanus</t>
  </si>
  <si>
    <t>LUTJANUS CAMPECHANUS</t>
  </si>
  <si>
    <t>RSN</t>
  </si>
  <si>
    <t>Lutjanidae</t>
  </si>
  <si>
    <t>Lutjanus</t>
  </si>
  <si>
    <t>Northern red snapper</t>
  </si>
  <si>
    <t>Rhomboplites aurorubens</t>
  </si>
  <si>
    <t>RHOMBOPLITES AURORUBENS</t>
  </si>
  <si>
    <t>VSN</t>
  </si>
  <si>
    <t>Rhomboplites</t>
  </si>
  <si>
    <t>Vermilion snapper</t>
  </si>
  <si>
    <t>Lutjanus griseus</t>
  </si>
  <si>
    <t>LUTJANUS GRISEUS</t>
  </si>
  <si>
    <t>GSN</t>
  </si>
  <si>
    <t>Grey snapper</t>
  </si>
  <si>
    <t>Lutjanus analis</t>
  </si>
  <si>
    <t>LUTJANUS ANALIS</t>
  </si>
  <si>
    <t>Mutton snapper</t>
  </si>
  <si>
    <t>Lutjanus synagris</t>
  </si>
  <si>
    <t>LUTJANUS SYNAGRIS</t>
  </si>
  <si>
    <t>Lane snapper</t>
  </si>
  <si>
    <t>Lutjanus vivanus</t>
  </si>
  <si>
    <t>LUTJANUS VIVANUS</t>
  </si>
  <si>
    <t>Silk snapper</t>
  </si>
  <si>
    <t>LUTJANUS</t>
  </si>
  <si>
    <t>LUTJANUS SPP.</t>
  </si>
  <si>
    <t>Lutjaniformes</t>
  </si>
  <si>
    <t>Lutjanus cyanopterus</t>
  </si>
  <si>
    <t>LUTJANUS CYANOPTERUS</t>
  </si>
  <si>
    <t>Lutjanus apodus</t>
  </si>
  <si>
    <t>LUTJANUS APODUS</t>
  </si>
  <si>
    <t>Lutjanus buccanella</t>
  </si>
  <si>
    <t>LUTJANUS BUCCANELLA</t>
  </si>
  <si>
    <t>Ocyurus chrysurus</t>
  </si>
  <si>
    <t>OCYURUS CHRYSURUS</t>
  </si>
  <si>
    <t>YTS</t>
  </si>
  <si>
    <t>Ocyurus</t>
  </si>
  <si>
    <t>Yellowtail snapper</t>
  </si>
  <si>
    <t>PRISTIPOMOIDES AQUILONARIS</t>
  </si>
  <si>
    <t>Pristipomoides</t>
  </si>
  <si>
    <t>Pristipomoides aquilonaris</t>
  </si>
  <si>
    <t>Mycteroperca microlepis</t>
  </si>
  <si>
    <t>MYCTEROPERCA MICROLEPIS</t>
  </si>
  <si>
    <t>GAG</t>
  </si>
  <si>
    <t>Serranidae</t>
  </si>
  <si>
    <t>Mycteroperca</t>
  </si>
  <si>
    <t>Gag</t>
  </si>
  <si>
    <t>Epinephelus morio</t>
  </si>
  <si>
    <t>EPINEPHELUS MORIO</t>
  </si>
  <si>
    <t>REDGRP</t>
  </si>
  <si>
    <t>Epinephelus</t>
  </si>
  <si>
    <t>Red grouper</t>
  </si>
  <si>
    <t>Mycteroperca bonaci</t>
  </si>
  <si>
    <t>MYCTEROPERCA BONACI</t>
  </si>
  <si>
    <t>Black grouper</t>
  </si>
  <si>
    <t>Epinephelus flavolimbatus</t>
  </si>
  <si>
    <t>EPINEPHELUS FLAVOLIMBATUS</t>
  </si>
  <si>
    <t>YEG</t>
  </si>
  <si>
    <t>flavolimbatus</t>
  </si>
  <si>
    <t>HYPORTHODUS FLAVOLIMBATUS</t>
  </si>
  <si>
    <t>Mycteroperca phenax</t>
  </si>
  <si>
    <t>MYCTEROPERCA PHENAX</t>
  </si>
  <si>
    <t>SCAMP</t>
  </si>
  <si>
    <t>Scamp</t>
  </si>
  <si>
    <t>Epinephelus itajara</t>
  </si>
  <si>
    <t>itajara</t>
  </si>
  <si>
    <t>EPINEPHELUS ITAJARA</t>
  </si>
  <si>
    <t>Atlantic goliath grouper</t>
  </si>
  <si>
    <t>1</t>
  </si>
  <si>
    <t>SERRANIDAE</t>
  </si>
  <si>
    <t>EPINEPHELIDAE SPP.</t>
  </si>
  <si>
    <t>Cephalopholis cruentata</t>
  </si>
  <si>
    <t>CEPHALOPHOLIS CRUENTATA</t>
  </si>
  <si>
    <t>Cephalopholis</t>
  </si>
  <si>
    <t>Graysby</t>
  </si>
  <si>
    <t>EPINEPHELUS CRUENTATUS</t>
  </si>
  <si>
    <t>Epinephelus adscensionis</t>
  </si>
  <si>
    <t>EPINEPHELUS ADSCENSIONIS</t>
  </si>
  <si>
    <t>Rock hind</t>
  </si>
  <si>
    <t>Epinephelus guttatus</t>
  </si>
  <si>
    <t>EPINEPHELUS GUTTATUS</t>
  </si>
  <si>
    <t>Red hind</t>
  </si>
  <si>
    <t>Mycteroperca rubra</t>
  </si>
  <si>
    <t>MYCTEROPERCA RUBRA</t>
  </si>
  <si>
    <t>Mycteroperca interstitialis</t>
  </si>
  <si>
    <t>MYCTEROPERCA INTERSTITIALIS</t>
  </si>
  <si>
    <t>NA</t>
  </si>
  <si>
    <t>MYCTEROPERCA</t>
  </si>
  <si>
    <t>EPINEPHELINAE</t>
  </si>
  <si>
    <t>Epinephelus drummondhayi</t>
  </si>
  <si>
    <t>EPINEPHELUS DRUMMONDHAYI</t>
  </si>
  <si>
    <t>Speckled hind</t>
  </si>
  <si>
    <t>Epinephelus nigritus</t>
  </si>
  <si>
    <t>EPINEPHELUS NIGRITUS</t>
  </si>
  <si>
    <t>GROUPER, WARSAW</t>
  </si>
  <si>
    <t>Epinephelus niveatus</t>
  </si>
  <si>
    <t>EPINEPHELUS NIVEATUS</t>
  </si>
  <si>
    <t>GROUPER, SNOWY</t>
  </si>
  <si>
    <t>Hyporthodus niveatus</t>
  </si>
  <si>
    <t>HYPORTHODUS NIVEATUS</t>
  </si>
  <si>
    <t>Hyporthodus</t>
  </si>
  <si>
    <t>Snowy grouper</t>
  </si>
  <si>
    <t>Hyporthodus nigritus</t>
  </si>
  <si>
    <t>HYPORTHODUS NIGRITUS</t>
  </si>
  <si>
    <t>Caulolatilus microps</t>
  </si>
  <si>
    <t>CAULOLATILUS MICROPS</t>
  </si>
  <si>
    <t>Malacanthidae</t>
  </si>
  <si>
    <t>Caulolatilus</t>
  </si>
  <si>
    <t>Grey tilefish</t>
  </si>
  <si>
    <t>Lopholatilus chamaeleonticeps</t>
  </si>
  <si>
    <t>LOPHOLATILUS CHAMAELEONTICEPS</t>
  </si>
  <si>
    <t>TLF</t>
  </si>
  <si>
    <t>Lopholatilus</t>
  </si>
  <si>
    <t>Great northern tilefish</t>
  </si>
  <si>
    <t>PONTINUS LONGISPINIS</t>
  </si>
  <si>
    <t>Scorpaenidae</t>
  </si>
  <si>
    <t>Pontinus</t>
  </si>
  <si>
    <t>Pontinus longispinis</t>
  </si>
  <si>
    <t>Pterois volitans</t>
  </si>
  <si>
    <t>PTEROIS VOLITANS</t>
  </si>
  <si>
    <t>Scorpaeniformes</t>
  </si>
  <si>
    <t>Pterois</t>
  </si>
  <si>
    <t>PTEROIS</t>
  </si>
  <si>
    <t>PTEROIS SPP.</t>
  </si>
  <si>
    <t>BALISTIDAE</t>
  </si>
  <si>
    <t>GTF</t>
  </si>
  <si>
    <t>Tetraodontiformes</t>
  </si>
  <si>
    <t>Balistidae</t>
  </si>
  <si>
    <t>TRIGGERFISHES</t>
  </si>
  <si>
    <t>Balistes capriscus</t>
  </si>
  <si>
    <t>BALISTES CAPRISCUS</t>
  </si>
  <si>
    <t>Balistes</t>
  </si>
  <si>
    <t>Grey triggerfish</t>
  </si>
  <si>
    <t>Pagrus pagrus</t>
  </si>
  <si>
    <t>PAGRUS PAGRUS</t>
  </si>
  <si>
    <t>Sparidae</t>
  </si>
  <si>
    <t>Pagrus</t>
  </si>
  <si>
    <t>Red porgy</t>
  </si>
  <si>
    <t>PAGRUS SEDECIM</t>
  </si>
  <si>
    <t>red porgy</t>
  </si>
  <si>
    <t>PAGRUS</t>
  </si>
  <si>
    <t>Spariformes</t>
  </si>
  <si>
    <t>Lachnolaimus maximus</t>
  </si>
  <si>
    <t>LACHNOLAIMUS MAXIMUS</t>
  </si>
  <si>
    <t>Labridae</t>
  </si>
  <si>
    <t>Lachnolaimus</t>
  </si>
  <si>
    <t>Hogfish</t>
  </si>
  <si>
    <t>Centropristis striata</t>
  </si>
  <si>
    <t>CENTROPRISTIS STRIATA</t>
  </si>
  <si>
    <t>Centropristis</t>
  </si>
  <si>
    <t>Black seabass</t>
  </si>
  <si>
    <t>reef carnivores</t>
  </si>
  <si>
    <t>SERIOLA FASCIATA</t>
  </si>
  <si>
    <t>Seriola fasciata</t>
  </si>
  <si>
    <t>Anisotremus virginicus</t>
  </si>
  <si>
    <t>ANISOTREMUS VIRGINICUS</t>
  </si>
  <si>
    <t>Haemulidae</t>
  </si>
  <si>
    <t>Anisotremus</t>
  </si>
  <si>
    <t>Porkfish</t>
  </si>
  <si>
    <t>Malacanthus plumieri</t>
  </si>
  <si>
    <t>MALACANTHUS PLUMIERI</t>
  </si>
  <si>
    <t>Malacanthus</t>
  </si>
  <si>
    <t>Sand tilefish</t>
  </si>
  <si>
    <t>Mullus auratus</t>
  </si>
  <si>
    <t>MULLUS AURATUS</t>
  </si>
  <si>
    <t>Mullidae</t>
  </si>
  <si>
    <t>Mullus</t>
  </si>
  <si>
    <t>Pseudupeneus maculatus</t>
  </si>
  <si>
    <t>PSEUDUPENEUS MACULATUS</t>
  </si>
  <si>
    <t>Pseudupeneus</t>
  </si>
  <si>
    <t>Spotted goatfish</t>
  </si>
  <si>
    <t>Upeneus parvus</t>
  </si>
  <si>
    <t>UPENEUS PARVUS</t>
  </si>
  <si>
    <t>Syngnathiformes</t>
  </si>
  <si>
    <t>Upeneus</t>
  </si>
  <si>
    <t>Citharichthys macrops</t>
  </si>
  <si>
    <t>CITHARICHTHYS MACROPS</t>
  </si>
  <si>
    <t>Pleuronectiformes</t>
  </si>
  <si>
    <t>Paralichthyidae</t>
  </si>
  <si>
    <t>Citharichthys</t>
  </si>
  <si>
    <t>Spotted whiff</t>
  </si>
  <si>
    <t>Cyclopsetta fimbriata</t>
  </si>
  <si>
    <t>CYCLOPSETTA FIMBRIATA</t>
  </si>
  <si>
    <t>Cyclopsetta</t>
  </si>
  <si>
    <t>Spotfin flounder</t>
  </si>
  <si>
    <t>Scorpaena brasiliensis</t>
  </si>
  <si>
    <t>SCORPAENA BRASILIENSIS</t>
  </si>
  <si>
    <t>Scorpaena</t>
  </si>
  <si>
    <t>Barbfish</t>
  </si>
  <si>
    <t>Alphestes afer</t>
  </si>
  <si>
    <t>ALPHESTES AFER</t>
  </si>
  <si>
    <t>Alphestes</t>
  </si>
  <si>
    <t>CENTROPRISTIS PHILADELPHICA</t>
  </si>
  <si>
    <t>Centropristis philadelphica</t>
  </si>
  <si>
    <t>CENTROPRISTIS</t>
  </si>
  <si>
    <t>Diplectrum formosum</t>
  </si>
  <si>
    <t>DIPLECTRUM FORMOSUM</t>
  </si>
  <si>
    <t>Diplectrum</t>
  </si>
  <si>
    <t>Sand perch</t>
  </si>
  <si>
    <t>DIPLECTRUM</t>
  </si>
  <si>
    <t>DIPLECTRUM SPP.</t>
  </si>
  <si>
    <t>DIPLECTRUM BIVITTATUM</t>
  </si>
  <si>
    <t>Calamus leucosteus</t>
  </si>
  <si>
    <t>CALAMUS LEUCOSTEUS</t>
  </si>
  <si>
    <t>Calamus</t>
  </si>
  <si>
    <t>Whitebone porgy</t>
  </si>
  <si>
    <t>Calamus nodosus</t>
  </si>
  <si>
    <t>CALAMUS NODOSUS</t>
  </si>
  <si>
    <t>Knobbed porgy</t>
  </si>
  <si>
    <t>Calamus proridens</t>
  </si>
  <si>
    <t>CALAMUS PRORIDENS</t>
  </si>
  <si>
    <t>Littlehead porgy</t>
  </si>
  <si>
    <t>CALAMUS</t>
  </si>
  <si>
    <t>CALAMUS SPP.</t>
  </si>
  <si>
    <t>CALAMUS SP.</t>
  </si>
  <si>
    <t>PLEURONECTIFORMES</t>
  </si>
  <si>
    <t>PLEURONECTIFORMES SPP.</t>
  </si>
  <si>
    <t>Apogon pseudomaculatus</t>
  </si>
  <si>
    <t>APOGON PSEUDOMACULATUS</t>
  </si>
  <si>
    <t>Apogonidae</t>
  </si>
  <si>
    <t>Apogon</t>
  </si>
  <si>
    <t>Twospot cardinalfish</t>
  </si>
  <si>
    <t>Apogon maculatus</t>
  </si>
  <si>
    <t>APOGON MACULATUS</t>
  </si>
  <si>
    <t>Kurtiformes</t>
  </si>
  <si>
    <t>PARONCHEILUS AFFINIS</t>
  </si>
  <si>
    <t>Paroncheilus</t>
  </si>
  <si>
    <t>Paroncheilus affinis</t>
  </si>
  <si>
    <t>reef crustacean eaters</t>
  </si>
  <si>
    <t>BALISTES VETULA</t>
  </si>
  <si>
    <t>Balistes vetula</t>
  </si>
  <si>
    <t>Citharichthys spilopterus</t>
  </si>
  <si>
    <t>CITHARICHTHYS SPILOPTERUS</t>
  </si>
  <si>
    <t>Cyclopsettidae</t>
  </si>
  <si>
    <t>Cyclopsetta chittendeni</t>
  </si>
  <si>
    <t>CYCLOPSETTA CHITTENDENI</t>
  </si>
  <si>
    <t>Etropus microstomus</t>
  </si>
  <si>
    <t>ETROPUS MICROSTOMUS</t>
  </si>
  <si>
    <t>Etropus</t>
  </si>
  <si>
    <t>SYACIUM GUNTERI</t>
  </si>
  <si>
    <t>Syacium</t>
  </si>
  <si>
    <t>Syacium gunteri</t>
  </si>
  <si>
    <t>SYACIUM</t>
  </si>
  <si>
    <t>Corniger spinosus</t>
  </si>
  <si>
    <t>CORNIGER SPINOSUS</t>
  </si>
  <si>
    <t>Beryciformes</t>
  </si>
  <si>
    <t>Holocentridae</t>
  </si>
  <si>
    <t>Corniger</t>
  </si>
  <si>
    <t>Holocentrus adscensionis</t>
  </si>
  <si>
    <t>HOLOCENTRUS ADSCENSIONIS</t>
  </si>
  <si>
    <t>Holocentrus</t>
  </si>
  <si>
    <t>Squirrelfish</t>
  </si>
  <si>
    <t>Holocentrus rufus</t>
  </si>
  <si>
    <t>HOLOCENTRUS RUFUS</t>
  </si>
  <si>
    <t>Longspine squirrelfish</t>
  </si>
  <si>
    <t>HOLOCENTRIDAE</t>
  </si>
  <si>
    <t>Syacium papillosum</t>
  </si>
  <si>
    <t>SYACIUM PAPILLOSUM</t>
  </si>
  <si>
    <t>Dusky flounder</t>
  </si>
  <si>
    <t>EQUES LANCEOLATUS</t>
  </si>
  <si>
    <t>Siluriformes</t>
  </si>
  <si>
    <t>Pimelodidae</t>
  </si>
  <si>
    <t>Eques</t>
  </si>
  <si>
    <t>Eques lanceolatus</t>
  </si>
  <si>
    <t>Equetus lanceolatus</t>
  </si>
  <si>
    <t>EQUETUS LANCEOLATUS</t>
  </si>
  <si>
    <t>Sciaenidae</t>
  </si>
  <si>
    <t>Equetus</t>
  </si>
  <si>
    <t>Jack-knifefish</t>
  </si>
  <si>
    <t>Equetus punctatus</t>
  </si>
  <si>
    <t>EQUETUS PUNCTATUS</t>
  </si>
  <si>
    <t>Pareques acuminatus</t>
  </si>
  <si>
    <t>PAREQUES ACUMINATUS</t>
  </si>
  <si>
    <t>Pareques</t>
  </si>
  <si>
    <t>High-hat</t>
  </si>
  <si>
    <t>Pareques iwamotoi</t>
  </si>
  <si>
    <t>PAREQUES IWAMOTOI</t>
  </si>
  <si>
    <t>Blackbar drum</t>
  </si>
  <si>
    <t>Pareques umbrosus</t>
  </si>
  <si>
    <t>PAREQUES UMBROSUS</t>
  </si>
  <si>
    <t>Cubbyu</t>
  </si>
  <si>
    <t>EQUETUS UMBROSUS</t>
  </si>
  <si>
    <t>PAREQUES</t>
  </si>
  <si>
    <t>PAREQUES SPP.</t>
  </si>
  <si>
    <t>Stellifer lanceolatus</t>
  </si>
  <si>
    <t>STELLIFER LANCEOLATUS</t>
  </si>
  <si>
    <t>Stellifer</t>
  </si>
  <si>
    <t>Scorpaena calcarata</t>
  </si>
  <si>
    <t>SCORPAENA CALCARATA</t>
  </si>
  <si>
    <t>Smooth-head scorpionfish</t>
  </si>
  <si>
    <t>Chaetodon ocellatus</t>
  </si>
  <si>
    <t>CHAETODON OCELLATUS</t>
  </si>
  <si>
    <t>Chaetodontiformes</t>
  </si>
  <si>
    <t>Chaetodontidae</t>
  </si>
  <si>
    <t>Chaetodon</t>
  </si>
  <si>
    <t>Spotfin butterflyfish</t>
  </si>
  <si>
    <t>Chaetodon sedentarius</t>
  </si>
  <si>
    <t>CHAETODON SEDENTARIUS</t>
  </si>
  <si>
    <t>Reef butterflyfish</t>
  </si>
  <si>
    <t>CHAETODON</t>
  </si>
  <si>
    <t>CHAETODON SPP.</t>
  </si>
  <si>
    <t>Prognathodes aya</t>
  </si>
  <si>
    <t>CHAETODON AYA</t>
  </si>
  <si>
    <t>Prognathodes</t>
  </si>
  <si>
    <t>Bank butterflyfish</t>
  </si>
  <si>
    <t>PROGNATHODES AYA</t>
  </si>
  <si>
    <t>Symphurus diomedeanus</t>
  </si>
  <si>
    <t>SYMPHURUS DIOMEDIANUS</t>
  </si>
  <si>
    <t>Cynoglossidae</t>
  </si>
  <si>
    <t>Symphurus</t>
  </si>
  <si>
    <t>Spottedfin tonguefish</t>
  </si>
  <si>
    <t>SYMPHURUS PLAGIUSA</t>
  </si>
  <si>
    <t>Symphurus plagiusa</t>
  </si>
  <si>
    <t>SYMPHURUS DIOMEDEANUS</t>
  </si>
  <si>
    <t>Chilomycterus schoepfii</t>
  </si>
  <si>
    <t>CHILOMYCTERUS SCHOEPFI</t>
  </si>
  <si>
    <t>Diodontidae</t>
  </si>
  <si>
    <t>Chilomycterus</t>
  </si>
  <si>
    <t>Striped burrfish</t>
  </si>
  <si>
    <t>CHILOMYCTERUS SCHOEPFII</t>
  </si>
  <si>
    <t>Diodon holocanthus</t>
  </si>
  <si>
    <t>DIODON HOLOCANTHUS</t>
  </si>
  <si>
    <t>Diodon</t>
  </si>
  <si>
    <t>Longspined porcupinefish</t>
  </si>
  <si>
    <t>Conodon nobilis</t>
  </si>
  <si>
    <t>CONODON NOBILIS</t>
  </si>
  <si>
    <t>Conodon</t>
  </si>
  <si>
    <t>Haemulon aurolineatum</t>
  </si>
  <si>
    <t>HAEMULON AUROLINEATUM</t>
  </si>
  <si>
    <t>Haemulon</t>
  </si>
  <si>
    <t>Tomtate grunt</t>
  </si>
  <si>
    <t>Haemulon plumierii</t>
  </si>
  <si>
    <t>HAEMULON PLUMIERI</t>
  </si>
  <si>
    <t>White grunt</t>
  </si>
  <si>
    <t>HAEMULON PLUMIERII</t>
  </si>
  <si>
    <t>HAEMULON</t>
  </si>
  <si>
    <t>HAEMULON SPP.</t>
  </si>
  <si>
    <t>HAEMULON STRIATUM</t>
  </si>
  <si>
    <t>Haemulon striatum</t>
  </si>
  <si>
    <t>Haemulon melanurum</t>
  </si>
  <si>
    <t>HAEMULON MELANURUM</t>
  </si>
  <si>
    <t>HAEMULIDAE</t>
  </si>
  <si>
    <t>Bodianus pulchellus</t>
  </si>
  <si>
    <t>BODIANUS PULCHELLUS</t>
  </si>
  <si>
    <t>Bodianus</t>
  </si>
  <si>
    <t>Spotfin hogfish</t>
  </si>
  <si>
    <t>Bodianus rufus</t>
  </si>
  <si>
    <t>BODIANUS RUFUS</t>
  </si>
  <si>
    <t>Spanish hogfish</t>
  </si>
  <si>
    <t>BODIANUS</t>
  </si>
  <si>
    <t>Labriformes</t>
  </si>
  <si>
    <t>Bodianus parrae</t>
  </si>
  <si>
    <t>CLEPTICUS PARRAE</t>
  </si>
  <si>
    <t>Decodon puellaris</t>
  </si>
  <si>
    <t>DECODON PUELLARIS</t>
  </si>
  <si>
    <t>Decodon</t>
  </si>
  <si>
    <t>Halichoeres bathyphilus</t>
  </si>
  <si>
    <t>HALICHOERES BATHYPHILUS</t>
  </si>
  <si>
    <t>Halichoeres</t>
  </si>
  <si>
    <t>Greenband wrasse</t>
  </si>
  <si>
    <t>Halichoeres bivittatus</t>
  </si>
  <si>
    <t>HALICHOERES BIVITTATUS</t>
  </si>
  <si>
    <t>Slippery dick</t>
  </si>
  <si>
    <t>HALICHOERES</t>
  </si>
  <si>
    <t>HALICHOERES SPP.</t>
  </si>
  <si>
    <t>Halichoeres caudalis</t>
  </si>
  <si>
    <t>HALICHOERES CAUDALIS</t>
  </si>
  <si>
    <t>Halichoeres maculipinna</t>
  </si>
  <si>
    <t>HALICHOERES MACULIPINNA</t>
  </si>
  <si>
    <t>Xyrichtys novacula</t>
  </si>
  <si>
    <t>XYRICHTYS NOVACULA</t>
  </si>
  <si>
    <t>Xyrichtys</t>
  </si>
  <si>
    <t>Pearly razorfish</t>
  </si>
  <si>
    <t>XYRICHTYS</t>
  </si>
  <si>
    <t>XYRICHTYS SPP.</t>
  </si>
  <si>
    <t>LABRIDAE</t>
  </si>
  <si>
    <t>LABRIDAE  PARROTFISHES</t>
  </si>
  <si>
    <t>LABRIDAE .PARROTFISHES..SPP.</t>
  </si>
  <si>
    <t>LABRIDAE  WRASSES</t>
  </si>
  <si>
    <t>LABRIDAE .WRASSES..SPP.</t>
  </si>
  <si>
    <t>MULLOIDICHTHYS MARTINICUS</t>
  </si>
  <si>
    <t>Mulloidichthys</t>
  </si>
  <si>
    <t>Mulloidichthys martinicus</t>
  </si>
  <si>
    <t>Holacanthus bermudensis</t>
  </si>
  <si>
    <t>HOLACANTHUS BERMUDENSIS</t>
  </si>
  <si>
    <t>Pomacanthidae</t>
  </si>
  <si>
    <t>Holacanthus</t>
  </si>
  <si>
    <t>Angelfish</t>
  </si>
  <si>
    <t>Holacanthus ciliaris</t>
  </si>
  <si>
    <t>HOLACANTHUS CILIARIS</t>
  </si>
  <si>
    <t>Queen angelfish</t>
  </si>
  <si>
    <t>Holacanthus tricolor</t>
  </si>
  <si>
    <t>HOLACANTHUS TRICOLOR</t>
  </si>
  <si>
    <t>Rock beauty</t>
  </si>
  <si>
    <t>HOLACANTHUS</t>
  </si>
  <si>
    <t>HOLACANTHUS SPP.</t>
  </si>
  <si>
    <t>Pomacanthus arcuatus</t>
  </si>
  <si>
    <t>POMACANTHUS ARCUATUS</t>
  </si>
  <si>
    <t>Pomacanthus</t>
  </si>
  <si>
    <t>Gray angelfish</t>
  </si>
  <si>
    <t>Pomacanthus paru</t>
  </si>
  <si>
    <t>POMACANTHUS PARU</t>
  </si>
  <si>
    <t>Hemanthias aureorubens</t>
  </si>
  <si>
    <t>HEMANTHIAS AUREORUBENS</t>
  </si>
  <si>
    <t>Hemanthias</t>
  </si>
  <si>
    <t>Hemanthias leptus</t>
  </si>
  <si>
    <t>HEMANTHIAS LEPTUS</t>
  </si>
  <si>
    <t>Longtail bass</t>
  </si>
  <si>
    <t>Serraniculus pumilio</t>
  </si>
  <si>
    <t>SERRANICULUS PUMILIO</t>
  </si>
  <si>
    <t>Serraniculus</t>
  </si>
  <si>
    <t>Serranus subligarius</t>
  </si>
  <si>
    <t>SERRANUS SUBLIGARIUS</t>
  </si>
  <si>
    <t>Serranus</t>
  </si>
  <si>
    <t>Belted sandfish</t>
  </si>
  <si>
    <t>SERRANUS ATROBRANCHUS</t>
  </si>
  <si>
    <t>Serranus atrobranchus</t>
  </si>
  <si>
    <t>SERRANUS</t>
  </si>
  <si>
    <t>SERRANUS TORTUGARUM</t>
  </si>
  <si>
    <t>Serranus tortugarum</t>
  </si>
  <si>
    <t>Calamus bajonado</t>
  </si>
  <si>
    <t>CALAMUS BAJONADO</t>
  </si>
  <si>
    <t>Jolthead porgy</t>
  </si>
  <si>
    <t>Calamus calamus</t>
  </si>
  <si>
    <t>CALAMUS CALAMUS</t>
  </si>
  <si>
    <t>Saucereye porgy</t>
  </si>
  <si>
    <t>Calamus penna</t>
  </si>
  <si>
    <t>CALAMUS PENNA</t>
  </si>
  <si>
    <t>Canthigaster rostrata</t>
  </si>
  <si>
    <t>CANTHIGASTER ROSTRATA</t>
  </si>
  <si>
    <t>Tetraodontidae</t>
  </si>
  <si>
    <t>Canthigaster</t>
  </si>
  <si>
    <t>Caribbean sharpnose-puffer</t>
  </si>
  <si>
    <t>Sphoeroides spengleri</t>
  </si>
  <si>
    <t>SPHOEROIDES SPENGLERI</t>
  </si>
  <si>
    <t>Sphoeroides</t>
  </si>
  <si>
    <t>Bandtail puffer</t>
  </si>
  <si>
    <t>Acanthurus chirurgus</t>
  </si>
  <si>
    <t>ACANTHURUS CHIRURGUS</t>
  </si>
  <si>
    <t>Acanthuridae</t>
  </si>
  <si>
    <t>Acanthurus</t>
  </si>
  <si>
    <t>Doctorfish</t>
  </si>
  <si>
    <t>Chaetodipterus faber</t>
  </si>
  <si>
    <t>CHAETODIPTERUS FABER</t>
  </si>
  <si>
    <t>Ephippidae</t>
  </si>
  <si>
    <t>Chaetodipterus</t>
  </si>
  <si>
    <t>Atlantic spadefish</t>
  </si>
  <si>
    <t>Myripristis jacobus</t>
  </si>
  <si>
    <t>MYRIPRISTIS JACOBUS</t>
  </si>
  <si>
    <t>Myripristis</t>
  </si>
  <si>
    <t>Blackbar soldierfish</t>
  </si>
  <si>
    <t>SARGOCENTRON BULLISI</t>
  </si>
  <si>
    <t>Holocentriformes</t>
  </si>
  <si>
    <t>Sargocentron</t>
  </si>
  <si>
    <t>Sargocentron bullisi</t>
  </si>
  <si>
    <t>Aluterus heudelotii</t>
  </si>
  <si>
    <t>ALUTERUS HEUDELOTII</t>
  </si>
  <si>
    <t>Monacanthidae</t>
  </si>
  <si>
    <t>Aluterus</t>
  </si>
  <si>
    <t>ALUTERUS HEUDELOTTI</t>
  </si>
  <si>
    <t>Aluterus monoceros</t>
  </si>
  <si>
    <t>ALUTERUS MONOCEROS</t>
  </si>
  <si>
    <t>Unicorn leatherjacket filefish</t>
  </si>
  <si>
    <t>Aluterus schoepfii</t>
  </si>
  <si>
    <t>ALUTERUS SCHOEPFI</t>
  </si>
  <si>
    <t>Orange filefish</t>
  </si>
  <si>
    <t>ALUTERUS SCHOEPFII</t>
  </si>
  <si>
    <t>Aluterus scriptus</t>
  </si>
  <si>
    <t>ALUTERUS SCRIPTUS</t>
  </si>
  <si>
    <t>Scribbled leatherjacket filefish</t>
  </si>
  <si>
    <t>ALUTERUS</t>
  </si>
  <si>
    <t>ALUTERUS SPP.</t>
  </si>
  <si>
    <t>Cantherhines pullus</t>
  </si>
  <si>
    <t>CANTHERHINES PULLUS</t>
  </si>
  <si>
    <t>Cantherhines</t>
  </si>
  <si>
    <t>Acanthostracion quadricornis</t>
  </si>
  <si>
    <t>ACANTHOSTRACION QUADRICORNIS</t>
  </si>
  <si>
    <t>Ostraciidae</t>
  </si>
  <si>
    <t>Acanthostracion</t>
  </si>
  <si>
    <t>Scrawled cowfish</t>
  </si>
  <si>
    <t>ACANTHOSTRACION POLYGONIUM</t>
  </si>
  <si>
    <t>Acanthostracion polygonius</t>
  </si>
  <si>
    <t>Rhinesomus triqueter</t>
  </si>
  <si>
    <t>RHINESOMUS TRIQUETER</t>
  </si>
  <si>
    <t>Rhinesomus</t>
  </si>
  <si>
    <t>Priacanthus arenatus</t>
  </si>
  <si>
    <t>PRIACANTHUS ARENATUS</t>
  </si>
  <si>
    <t>Priacanthidae</t>
  </si>
  <si>
    <t>Priacanthus</t>
  </si>
  <si>
    <t>Atlantic bigeye</t>
  </si>
  <si>
    <t>Pristigenys alta</t>
  </si>
  <si>
    <t>PRISTIGENYS ALTA</t>
  </si>
  <si>
    <t>Pristigenys</t>
  </si>
  <si>
    <t>Short bigeye</t>
  </si>
  <si>
    <t>Archosargus probatocephalus</t>
  </si>
  <si>
    <t>ARCHOSARGUS PROBATOCEPHALUS</t>
  </si>
  <si>
    <t>Archosargus</t>
  </si>
  <si>
    <t>Sheepshead</t>
  </si>
  <si>
    <t>Sphoeroides nephelus</t>
  </si>
  <si>
    <t>SPHOEROIDES NEPHELUS</t>
  </si>
  <si>
    <t>Southern puffer</t>
  </si>
  <si>
    <t>Parablennius marmoreus</t>
  </si>
  <si>
    <t>PARABLENNIUS MARMOREUS</t>
  </si>
  <si>
    <t>Blenniidae</t>
  </si>
  <si>
    <t>Parablennius</t>
  </si>
  <si>
    <t>Seaweed blenny</t>
  </si>
  <si>
    <t>BLENNIIDAE</t>
  </si>
  <si>
    <t>PTERELEOTRIS</t>
  </si>
  <si>
    <t>PTERELEOTRIS SPP.</t>
  </si>
  <si>
    <t>Gobiiformes</t>
  </si>
  <si>
    <t>Gobiidae</t>
  </si>
  <si>
    <t>Ptereleotris</t>
  </si>
  <si>
    <t>GOBIIDAE</t>
  </si>
  <si>
    <t>Monacanthus ciliatus</t>
  </si>
  <si>
    <t>MONACANTHUS CILIATUS</t>
  </si>
  <si>
    <t>Monacanthus</t>
  </si>
  <si>
    <t>Fringed filefish</t>
  </si>
  <si>
    <t>Stephanolepis hispidus</t>
  </si>
  <si>
    <t>MONACANTHUS HISPIDUS</t>
  </si>
  <si>
    <t>Stephanolepis</t>
  </si>
  <si>
    <t>Planehead filefish</t>
  </si>
  <si>
    <t>STEPHANOLEPIS HISPIDUS</t>
  </si>
  <si>
    <t>STEPHANOLEPIS HISPIDA</t>
  </si>
  <si>
    <t>Stephanolepis setifer</t>
  </si>
  <si>
    <t>STEPHANOLEPIS SETIFER</t>
  </si>
  <si>
    <t>Pygmy filefish</t>
  </si>
  <si>
    <t>STEPHANOLEPIS</t>
  </si>
  <si>
    <t>STEPHANOLEPIS SPP.</t>
  </si>
  <si>
    <t>Centropyge argi</t>
  </si>
  <si>
    <t>CENTROPYGE ARGI</t>
  </si>
  <si>
    <t>Centropyge</t>
  </si>
  <si>
    <t>Cherubfish</t>
  </si>
  <si>
    <t>OPISTOGNATHIDAE</t>
  </si>
  <si>
    <t>OPISTOGNATHIDAE SPP...LIGHT.</t>
  </si>
  <si>
    <t>Opistognathidae</t>
  </si>
  <si>
    <t>Opistognathus aurifrons</t>
  </si>
  <si>
    <t>OPISTOGNATHUS AURIFRONS</t>
  </si>
  <si>
    <t>Opistognathus</t>
  </si>
  <si>
    <t>Yellowhead jawfish</t>
  </si>
  <si>
    <t>OPISTOGNATHUS</t>
  </si>
  <si>
    <t>OPISTOGNATHUS SP.</t>
  </si>
  <si>
    <t>Abudefduf saxatilis</t>
  </si>
  <si>
    <t>ABUDEFDUF SAXATILIS</t>
  </si>
  <si>
    <t>Pomacentridae</t>
  </si>
  <si>
    <t>Abudefduf</t>
  </si>
  <si>
    <t>Abudefduf taurus</t>
  </si>
  <si>
    <t>ABUDEFDUF TAURUS</t>
  </si>
  <si>
    <t>Chromis cyanea</t>
  </si>
  <si>
    <t>CHROMIS CYANEA</t>
  </si>
  <si>
    <t>Chromis</t>
  </si>
  <si>
    <t>Blue chromis</t>
  </si>
  <si>
    <t>Chromis enchrysura</t>
  </si>
  <si>
    <t>CHROMIS ENCHRYSURA</t>
  </si>
  <si>
    <t>CHROMIS ENCHRYSURUS</t>
  </si>
  <si>
    <t>Chromis scotti</t>
  </si>
  <si>
    <t>CHROMIS SCOTTI</t>
  </si>
  <si>
    <t>Purple reeffish</t>
  </si>
  <si>
    <t>Chromis insolata</t>
  </si>
  <si>
    <t>CHROMIS INSOLATA</t>
  </si>
  <si>
    <t>Chromis multilineata</t>
  </si>
  <si>
    <t>CHROMIS MULTILINEATA</t>
  </si>
  <si>
    <t>Microspathodon chrysurus</t>
  </si>
  <si>
    <t>MICROSPATHODON CHRYSURUS</t>
  </si>
  <si>
    <t>Microspathodon</t>
  </si>
  <si>
    <t>Stegastes leucostictus</t>
  </si>
  <si>
    <t>STEGASTES LEUCOSTICTUS</t>
  </si>
  <si>
    <t>Stegastes</t>
  </si>
  <si>
    <t>Beaugregory</t>
  </si>
  <si>
    <t>Stegastes partitus</t>
  </si>
  <si>
    <t>STEGASTES PARTITUS</t>
  </si>
  <si>
    <t>Bicolor damselfish</t>
  </si>
  <si>
    <t>Stegastes variabilis</t>
  </si>
  <si>
    <t>STEGASTES VARIABILIS</t>
  </si>
  <si>
    <t>Cocoa damselfish</t>
  </si>
  <si>
    <t>STEGASTES</t>
  </si>
  <si>
    <t>STEGASTES SPP.</t>
  </si>
  <si>
    <t>STEGASTES XANTHURUS</t>
  </si>
  <si>
    <t>Stegastes xanthurus</t>
  </si>
  <si>
    <t>Stegastes fuscus</t>
  </si>
  <si>
    <t>STEGASTES FUSCUS</t>
  </si>
  <si>
    <t>Stegastes planifrons</t>
  </si>
  <si>
    <t>STEGASTES PLANIFRONS</t>
  </si>
  <si>
    <t>POMACENTRIDAE</t>
  </si>
  <si>
    <t>POMACENTRIDAE SPP.</t>
  </si>
  <si>
    <t>Baldwinella vivanus</t>
  </si>
  <si>
    <t>BALDWINELLA VIVANUS</t>
  </si>
  <si>
    <t>Baldwinella</t>
  </si>
  <si>
    <t>Red barbier</t>
  </si>
  <si>
    <t>Liopropoma eukrines</t>
  </si>
  <si>
    <t>LIOPROPOMA EUKRINES</t>
  </si>
  <si>
    <t>Liopropoma</t>
  </si>
  <si>
    <t>Wrasse bass</t>
  </si>
  <si>
    <t>Paranthias furcifer</t>
  </si>
  <si>
    <t>PARANTHIAS FURCIFER</t>
  </si>
  <si>
    <t>Paranthias</t>
  </si>
  <si>
    <t>Creole-fish</t>
  </si>
  <si>
    <t>Pronotogrammus martinicensis</t>
  </si>
  <si>
    <t>PRONOTOGRAMMUS MARTINICENSIS</t>
  </si>
  <si>
    <t>Pronotogrammus</t>
  </si>
  <si>
    <t>Roughtongue bass</t>
  </si>
  <si>
    <t>Rypticus maculatus</t>
  </si>
  <si>
    <t>RYPTICUS MACULATUS</t>
  </si>
  <si>
    <t>Rypticus</t>
  </si>
  <si>
    <t>Whitespotted soapfish</t>
  </si>
  <si>
    <t>RYPTICUS SAPONACEUS</t>
  </si>
  <si>
    <t>Rypticus saponaceus</t>
  </si>
  <si>
    <t>SCHULTZEA BETA</t>
  </si>
  <si>
    <t>Schultzea</t>
  </si>
  <si>
    <t>Schultzea beta</t>
  </si>
  <si>
    <t>Serranus annularis</t>
  </si>
  <si>
    <t>SERRANUS ANNULARIS</t>
  </si>
  <si>
    <t>Orangeback bass</t>
  </si>
  <si>
    <t>Serranus notospilus</t>
  </si>
  <si>
    <t>SERRANUS NOTOSPILUS</t>
  </si>
  <si>
    <t>Saddle bass</t>
  </si>
  <si>
    <t>Serranus phoebe</t>
  </si>
  <si>
    <t>SERRANUS PHOEBE</t>
  </si>
  <si>
    <t>Tattler</t>
  </si>
  <si>
    <t>Alectis ciliaris</t>
  </si>
  <si>
    <t>ALECTIS CILIARIS</t>
  </si>
  <si>
    <t>Alectis</t>
  </si>
  <si>
    <t>Caranx crysos</t>
  </si>
  <si>
    <t>CARANX CRYSOS</t>
  </si>
  <si>
    <t>Caranx</t>
  </si>
  <si>
    <t>Blue runner</t>
  </si>
  <si>
    <t>Caranx hippos</t>
  </si>
  <si>
    <t>CARANX HIPPOS</t>
  </si>
  <si>
    <t>Crevalle jack</t>
  </si>
  <si>
    <t>Centropomus undecimalis</t>
  </si>
  <si>
    <t>CENTROPOMUS UNDECIMALIS</t>
  </si>
  <si>
    <t>Centropomidae</t>
  </si>
  <si>
    <t>Centropomus</t>
  </si>
  <si>
    <t>Common snook</t>
  </si>
  <si>
    <t>Centropomus parallelus</t>
  </si>
  <si>
    <t>CENTROPOMUS PARALLELUS</t>
  </si>
  <si>
    <t>Elops saurus</t>
  </si>
  <si>
    <t>ELOPS SAURUS</t>
  </si>
  <si>
    <t>Elopiformes</t>
  </si>
  <si>
    <t>Elopidae</t>
  </si>
  <si>
    <t>Elops</t>
  </si>
  <si>
    <t>Ladyfish</t>
  </si>
  <si>
    <t>Paralichthys albigutta</t>
  </si>
  <si>
    <t>PARALICHTHYS ALBIGUTTA</t>
  </si>
  <si>
    <t>Paralichthys</t>
  </si>
  <si>
    <t>Gulf flounder</t>
  </si>
  <si>
    <t>Paralichthys lethostigma</t>
  </si>
  <si>
    <t>PARALICHTHYS LETHOSTIGMA</t>
  </si>
  <si>
    <t>Southern flounder</t>
  </si>
  <si>
    <t>coastal piscivores</t>
  </si>
  <si>
    <t>PARALICHTHYS SQUAMILENTUS</t>
  </si>
  <si>
    <t>Paralichthys squamilentus</t>
  </si>
  <si>
    <t>Paralichthys dentatus</t>
  </si>
  <si>
    <t>PARALICHTHYS DENTATUS</t>
  </si>
  <si>
    <t>Pomatomus saltatrix</t>
  </si>
  <si>
    <t>POMATOMUS SALTATRIX</t>
  </si>
  <si>
    <t>Pomatomidae</t>
  </si>
  <si>
    <t>Pomatomus</t>
  </si>
  <si>
    <t>Bluefish</t>
  </si>
  <si>
    <t>Cynoscion nebulosus</t>
  </si>
  <si>
    <t>CYNOSCION NEBULOSUS</t>
  </si>
  <si>
    <t>Cynoscion</t>
  </si>
  <si>
    <t>Spotted weakfish</t>
  </si>
  <si>
    <t>CYNOSCION</t>
  </si>
  <si>
    <t>Ariomma regulus</t>
  </si>
  <si>
    <t>ARIOMMA REGULUS</t>
  </si>
  <si>
    <t>Ariommatidae</t>
  </si>
  <si>
    <t>Ariomma</t>
  </si>
  <si>
    <t>Spotted driftfish</t>
  </si>
  <si>
    <t>Opsanus pardus</t>
  </si>
  <si>
    <t>OPSANUS PARDUS</t>
  </si>
  <si>
    <t>Batrachoidiformes</t>
  </si>
  <si>
    <t>Batrachoididae</t>
  </si>
  <si>
    <t>Opsanus</t>
  </si>
  <si>
    <t>Leopard toadfish</t>
  </si>
  <si>
    <t>Opsanus beta</t>
  </si>
  <si>
    <t>OPSANUS BETA</t>
  </si>
  <si>
    <t>Porichthys plectrodon</t>
  </si>
  <si>
    <t>PORICHTHYS PLECTRODON</t>
  </si>
  <si>
    <t>Porichthys</t>
  </si>
  <si>
    <t>Atlantic midshipman</t>
  </si>
  <si>
    <t>Porichthys porosissimus</t>
  </si>
  <si>
    <t>PORICHTHYS POROSISSIMUS</t>
  </si>
  <si>
    <t>Bothus robinsi</t>
  </si>
  <si>
    <t>BOTHUS ROBINSI</t>
  </si>
  <si>
    <t>Bothidae</t>
  </si>
  <si>
    <t>Bothus</t>
  </si>
  <si>
    <t>Twospot flounder</t>
  </si>
  <si>
    <t>HETEROCONGER</t>
  </si>
  <si>
    <t>HETEROCONGER SPP.</t>
  </si>
  <si>
    <t>Anguilliformes</t>
  </si>
  <si>
    <t>Congridae</t>
  </si>
  <si>
    <t>Heteroconger</t>
  </si>
  <si>
    <t>Pseudophichthys splendens</t>
  </si>
  <si>
    <t>PSEUDOPHICHTHYS SPLENDENS</t>
  </si>
  <si>
    <t>Pseudophichthys</t>
  </si>
  <si>
    <t>Rhynchoconger flavus</t>
  </si>
  <si>
    <t>RHYNCHOCONGER FLAVUS</t>
  </si>
  <si>
    <t>Rhynchoconger</t>
  </si>
  <si>
    <t>Urophycis cirrata</t>
  </si>
  <si>
    <t>UROPHYCIS CIRRATA</t>
  </si>
  <si>
    <t>UROPHYCIS CIRRATUS</t>
  </si>
  <si>
    <t>Gadiformes</t>
  </si>
  <si>
    <t>Gadidae</t>
  </si>
  <si>
    <t>Urophycis</t>
  </si>
  <si>
    <t>Gulf hake</t>
  </si>
  <si>
    <t>Urophycis floridana</t>
  </si>
  <si>
    <t>UROPHYCIS FLORIDANA</t>
  </si>
  <si>
    <t>UROPHYCIS FLORIDANUS</t>
  </si>
  <si>
    <t>Southern codling</t>
  </si>
  <si>
    <t>HEMIPTERONOTUS NOVACULA</t>
  </si>
  <si>
    <t>Echidna catenata</t>
  </si>
  <si>
    <t>ECHIDNA CATENATA</t>
  </si>
  <si>
    <t>Muraenidae</t>
  </si>
  <si>
    <t>Echidna</t>
  </si>
  <si>
    <t>Gymnothorax kolpos</t>
  </si>
  <si>
    <t>GYMNOTHORAX KOLPOS</t>
  </si>
  <si>
    <t>Gymnothorax</t>
  </si>
  <si>
    <t>Blacktail moray</t>
  </si>
  <si>
    <t>Gymnothorax moringa</t>
  </si>
  <si>
    <t>GYMNOTHORAX MORINGA</t>
  </si>
  <si>
    <t>Spotted moray</t>
  </si>
  <si>
    <t>Gymnothorax saxicola</t>
  </si>
  <si>
    <t>GYMNOTHORAX SAXICOLA</t>
  </si>
  <si>
    <t>Honeycomb moray</t>
  </si>
  <si>
    <t>Gymnothorax nigromarginatus</t>
  </si>
  <si>
    <t>GYMNOTHORAX NIGROMARGINATUS</t>
  </si>
  <si>
    <t>Muraena retifera</t>
  </si>
  <si>
    <t>MURAENA RETIFERA</t>
  </si>
  <si>
    <t>Muraena</t>
  </si>
  <si>
    <t>Reticulate moray</t>
  </si>
  <si>
    <t>MURAENIDAE</t>
  </si>
  <si>
    <t>OPHIDION ANTIPHOLUS</t>
  </si>
  <si>
    <t>Dibranchus atlanticus</t>
  </si>
  <si>
    <t>DIBRANCHUS ATLANTICUS</t>
  </si>
  <si>
    <t>Lophiiformes</t>
  </si>
  <si>
    <t>Ogcocephalidae</t>
  </si>
  <si>
    <t>Dibranchus</t>
  </si>
  <si>
    <t>Halieutichthys aculeatus</t>
  </si>
  <si>
    <t>HALIEUTICHTHYS ACULEATUS</t>
  </si>
  <si>
    <t>Halieutichthys</t>
  </si>
  <si>
    <t>Pancake batfish</t>
  </si>
  <si>
    <t>Ogcocephalus corniger</t>
  </si>
  <si>
    <t>OGCOCEPHALUS CORNIGER</t>
  </si>
  <si>
    <t>Ogcocephalus</t>
  </si>
  <si>
    <t>Longnose batfish</t>
  </si>
  <si>
    <t>Ogcocephalus cubifrons</t>
  </si>
  <si>
    <t>OGCOCEPHALUS CUBIFRONS</t>
  </si>
  <si>
    <t>Ogcocephalus pantostictus</t>
  </si>
  <si>
    <t>OGCOCEPHALUS PANTOSTICTUS</t>
  </si>
  <si>
    <t>Spotted batfish</t>
  </si>
  <si>
    <t>Ogcocephalus parvus</t>
  </si>
  <si>
    <t>OGCOCEPHALUS PARVUS</t>
  </si>
  <si>
    <t>Ogcocephalus nasutus</t>
  </si>
  <si>
    <t>OGCOCEPHALUS NASUTUS</t>
  </si>
  <si>
    <t>OGCOCEPHALUS</t>
  </si>
  <si>
    <t>ECHIOPHIS INTERTINCTUS</t>
  </si>
  <si>
    <t>Ophichthidae</t>
  </si>
  <si>
    <t>Echiophis</t>
  </si>
  <si>
    <t>Echiophis intertinctus</t>
  </si>
  <si>
    <t>Ophichthus puncticeps</t>
  </si>
  <si>
    <t>OPHICHTHUS PUNCTICEPS</t>
  </si>
  <si>
    <t>Ophichthus</t>
  </si>
  <si>
    <t>Palespotted eel</t>
  </si>
  <si>
    <t>Ophichthus rex</t>
  </si>
  <si>
    <t>OPHICHTHUS REX</t>
  </si>
  <si>
    <t>King snake eel</t>
  </si>
  <si>
    <t>BROTULA BARBATA</t>
  </si>
  <si>
    <t>Ophidiiformes</t>
  </si>
  <si>
    <t>Ophidiidae</t>
  </si>
  <si>
    <t>Brotula</t>
  </si>
  <si>
    <t>Brotula barbata</t>
  </si>
  <si>
    <t>Dicrolene introniger</t>
  </si>
  <si>
    <t>DICROLENE INTRONIGER</t>
  </si>
  <si>
    <t>Dicrolene</t>
  </si>
  <si>
    <t>Lepophidium jeannae</t>
  </si>
  <si>
    <t>LEPOPHIDIUM JEANNAE</t>
  </si>
  <si>
    <t>Lepophidium</t>
  </si>
  <si>
    <t>Mottled cusk-eel</t>
  </si>
  <si>
    <t>Lepophidium brevibarbe</t>
  </si>
  <si>
    <t>LEPOPHIDIUM BREVIBARBE</t>
  </si>
  <si>
    <t>MONOMITOPUS</t>
  </si>
  <si>
    <t>Monomitopus</t>
  </si>
  <si>
    <t>Monomitopus agassizii</t>
  </si>
  <si>
    <t>MONOMITOPUS AGASSIZII</t>
  </si>
  <si>
    <t>Ophidion holbrookii</t>
  </si>
  <si>
    <t>OPHIDION HOLBROOKI</t>
  </si>
  <si>
    <t>Ophidion</t>
  </si>
  <si>
    <t>Band cusk-eel</t>
  </si>
  <si>
    <t>OPHIDION HOLBROOKII</t>
  </si>
  <si>
    <t>OPHIDION BEANI</t>
  </si>
  <si>
    <t>OPHIDION</t>
  </si>
  <si>
    <t>OPHIDION DROMIO</t>
  </si>
  <si>
    <t>Ophidion dromio</t>
  </si>
  <si>
    <t>OTOPHIDIUM DORMITATOR</t>
  </si>
  <si>
    <t>Otophidium</t>
  </si>
  <si>
    <t>Otophidium dormitator</t>
  </si>
  <si>
    <t>Xyelacyba myersi</t>
  </si>
  <si>
    <t>XYELACYBA MYERSI</t>
  </si>
  <si>
    <t>Xyelacyba</t>
  </si>
  <si>
    <t>Ancylopsetta ommata</t>
  </si>
  <si>
    <t>ANCYLOPSETTA QUADROCELLATA</t>
  </si>
  <si>
    <t>Ancylopsetta</t>
  </si>
  <si>
    <t>Gulf of Mexico ocellated flounder</t>
  </si>
  <si>
    <t>ANCYLOPSETTA OMMATA</t>
  </si>
  <si>
    <t>Etropus rimosus</t>
  </si>
  <si>
    <t>ETROPUS RIMOSUS</t>
  </si>
  <si>
    <t>Gray flounder</t>
  </si>
  <si>
    <t>Gastropsetta frontalis</t>
  </si>
  <si>
    <t>GASTROPSETTA FRONTALIS</t>
  </si>
  <si>
    <t>Gastropsetta</t>
  </si>
  <si>
    <t>Shrimp flounder</t>
  </si>
  <si>
    <t>UROPHYCIS REGIA</t>
  </si>
  <si>
    <t>Phycidae</t>
  </si>
  <si>
    <t>Urophycis regia</t>
  </si>
  <si>
    <t>Scorpaena agassizii</t>
  </si>
  <si>
    <t>SCORPAENA AGASSIZII</t>
  </si>
  <si>
    <t>Longfin scorpionfish</t>
  </si>
  <si>
    <t>SCORPAENA BRASILIENSIS?</t>
  </si>
  <si>
    <t>Scorpaena plumieri</t>
  </si>
  <si>
    <t>SCORPAENA PLUMIERI</t>
  </si>
  <si>
    <t>Centropristis ocyurus</t>
  </si>
  <si>
    <t>CENTROPRISTIS OCYURUS</t>
  </si>
  <si>
    <t>CENTROPRISTIS OCYURA</t>
  </si>
  <si>
    <t>Bank sea bass</t>
  </si>
  <si>
    <t>Calamus arctifrons</t>
  </si>
  <si>
    <t>CALAMUS ARCTIFRONS</t>
  </si>
  <si>
    <t>Grass porgy</t>
  </si>
  <si>
    <t>Stenotomus caprinus</t>
  </si>
  <si>
    <t>STENOTOMUS CAPRINUS</t>
  </si>
  <si>
    <t>Stenotomus</t>
  </si>
  <si>
    <t>Longspine porgy</t>
  </si>
  <si>
    <t>Hippocampus erectus</t>
  </si>
  <si>
    <t>HIPPOCAMPUS ERECTUS</t>
  </si>
  <si>
    <t>Gasterosteiformes</t>
  </si>
  <si>
    <t>Syngnathidae</t>
  </si>
  <si>
    <t>Hippocampus</t>
  </si>
  <si>
    <t>Lined seahorse</t>
  </si>
  <si>
    <t>Hippocampus zosterae</t>
  </si>
  <si>
    <t>HIPPOCAMPUS ZOSTERAE</t>
  </si>
  <si>
    <t>Syngnathus floridae</t>
  </si>
  <si>
    <t>SYNGNATHUS FLORIDAE</t>
  </si>
  <si>
    <t>Syngnathus</t>
  </si>
  <si>
    <t>Dusky pipefish</t>
  </si>
  <si>
    <t>Saurida brasiliensis</t>
  </si>
  <si>
    <t>SAURIDA BRASILIENSIS</t>
  </si>
  <si>
    <t>Aulopiformes</t>
  </si>
  <si>
    <t>Synodontidae</t>
  </si>
  <si>
    <t>Saurida</t>
  </si>
  <si>
    <t>Brazilian lizardfish</t>
  </si>
  <si>
    <t>Saurida normani</t>
  </si>
  <si>
    <t>SAURIDA NORMANI</t>
  </si>
  <si>
    <t>Shortjaw lizardfish</t>
  </si>
  <si>
    <t>Saurida caribbaea</t>
  </si>
  <si>
    <t>SAURIDA CARIBBAEA</t>
  </si>
  <si>
    <t>Synodus intermedius</t>
  </si>
  <si>
    <t>SYNODUS INTERMEDIUS</t>
  </si>
  <si>
    <t>Synodus</t>
  </si>
  <si>
    <t>Sand diver</t>
  </si>
  <si>
    <t>Synodus poeyi</t>
  </si>
  <si>
    <t>SYNODUS POEYI</t>
  </si>
  <si>
    <t>Offshore lizardfish</t>
  </si>
  <si>
    <t>Trachinocephalus myops</t>
  </si>
  <si>
    <t>TRACHINOCEPHALUS MYOPS</t>
  </si>
  <si>
    <t>Trachinocephalus</t>
  </si>
  <si>
    <t>SYNODUS MYOPS</t>
  </si>
  <si>
    <t>Sphoeroides dorsalis</t>
  </si>
  <si>
    <t>SPHOEROIDES DORSALIS</t>
  </si>
  <si>
    <t>Marbled puffer</t>
  </si>
  <si>
    <t>SPHOEROIDES MACULATUS</t>
  </si>
  <si>
    <t>Sphoeroides maculatus</t>
  </si>
  <si>
    <t>Sphoeroides parvus</t>
  </si>
  <si>
    <t>SPHOEROIDES PARVUS</t>
  </si>
  <si>
    <t>Prionotus scitulus</t>
  </si>
  <si>
    <t>PRIONOTUS SCITULUS</t>
  </si>
  <si>
    <t>Triglidae</t>
  </si>
  <si>
    <t>Prionotus</t>
  </si>
  <si>
    <t>Leopard searobin</t>
  </si>
  <si>
    <t>Prionotus stearnsi</t>
  </si>
  <si>
    <t>PRIONOTUS STEARNSI</t>
  </si>
  <si>
    <t>Shortwing searobin</t>
  </si>
  <si>
    <t>Prionotus tribulus</t>
  </si>
  <si>
    <t>PRIONOTUS TRIBULUS</t>
  </si>
  <si>
    <t>Bighead searobin</t>
  </si>
  <si>
    <t>Kathetostoma albigutta</t>
  </si>
  <si>
    <t>KATHETOSTOMA ALBIGUTTA</t>
  </si>
  <si>
    <t>Uranoscopidae</t>
  </si>
  <si>
    <t>Kathetostoma</t>
  </si>
  <si>
    <t>Lancer stargazer</t>
  </si>
  <si>
    <t>Trinectes maculatus</t>
  </si>
  <si>
    <t>TRINECTES MACULATUS</t>
  </si>
  <si>
    <t>Achiridae</t>
  </si>
  <si>
    <t>Trinectes</t>
  </si>
  <si>
    <t>Hogchoker</t>
  </si>
  <si>
    <t>ARIIDAE</t>
  </si>
  <si>
    <t>Ariidae</t>
  </si>
  <si>
    <t>SEA CATFISHES</t>
  </si>
  <si>
    <t>Ariopsis felis</t>
  </si>
  <si>
    <t>ARIOPSIS FELIS</t>
  </si>
  <si>
    <t>Ariopsis</t>
  </si>
  <si>
    <t>Hardhead sea catfish</t>
  </si>
  <si>
    <t>ARIUS FELIS</t>
  </si>
  <si>
    <t>Bagre marinus</t>
  </si>
  <si>
    <t>BAGRE MARINUS</t>
  </si>
  <si>
    <t>Bagre</t>
  </si>
  <si>
    <t>Gafftopsail sea catfish</t>
  </si>
  <si>
    <t>Cathorops melanopus</t>
  </si>
  <si>
    <t>CATHOROPS MELANOPUS</t>
  </si>
  <si>
    <t>Cathorops</t>
  </si>
  <si>
    <t>Selene vomer</t>
  </si>
  <si>
    <t>SELENE VOMER</t>
  </si>
  <si>
    <t>Selene</t>
  </si>
  <si>
    <t>Lookdown</t>
  </si>
  <si>
    <t>Selene setapinnis</t>
  </si>
  <si>
    <t>SELENE SETAPINNIS</t>
  </si>
  <si>
    <t>Trachinotus carolinus</t>
  </si>
  <si>
    <t>TRACHINOTUS CAROLINUS</t>
  </si>
  <si>
    <t>Trachinotus</t>
  </si>
  <si>
    <t>Florida pompano</t>
  </si>
  <si>
    <t>Trachinotus falcatus</t>
  </si>
  <si>
    <t>TRACHINOTUS FALCATUS</t>
  </si>
  <si>
    <t>Orthopristis chrysoptera</t>
  </si>
  <si>
    <t>ORTHOPRISTIS CHRYSOPTERUS</t>
  </si>
  <si>
    <t>Orthopristis</t>
  </si>
  <si>
    <t>Pigfish</t>
  </si>
  <si>
    <t>ORTHOPRISTIS CHRYSOPTERA</t>
  </si>
  <si>
    <t>Nicholsina usta</t>
  </si>
  <si>
    <t>NICHOLSINA USTA</t>
  </si>
  <si>
    <t>Nicholsina</t>
  </si>
  <si>
    <t>Etropus crossotus</t>
  </si>
  <si>
    <t>ETROPUS CROSSOTUS</t>
  </si>
  <si>
    <t>Fringed flounder</t>
  </si>
  <si>
    <t>Bairdiella chrysoura</t>
  </si>
  <si>
    <t>BAIRDIELLA CHRYSOURA</t>
  </si>
  <si>
    <t>Bairdiella</t>
  </si>
  <si>
    <t>Silver perch</t>
  </si>
  <si>
    <t>Cynoscion arenarius</t>
  </si>
  <si>
    <t>CYNOSCION ARENARIUS</t>
  </si>
  <si>
    <t>Sand weakfish</t>
  </si>
  <si>
    <t>Leiostomus xanthurus</t>
  </si>
  <si>
    <t>LEIOSTOMUS XANTHURUS</t>
  </si>
  <si>
    <t>Leiostomus</t>
  </si>
  <si>
    <t>Spot croaker</t>
  </si>
  <si>
    <t>MENTICIRRHUS</t>
  </si>
  <si>
    <t>Menticirrhus</t>
  </si>
  <si>
    <t>KING WHITING</t>
  </si>
  <si>
    <t>Menticirrhus americanus</t>
  </si>
  <si>
    <t>MENTICIRRHUS AMERICANUS</t>
  </si>
  <si>
    <t>Southern kingcroaker</t>
  </si>
  <si>
    <t>Menticirrhus littoralis</t>
  </si>
  <si>
    <t>MENTICIRRHUS LITTORALIS</t>
  </si>
  <si>
    <t>Gulf kingcroaker</t>
  </si>
  <si>
    <t>Menticirrhus saxatilis</t>
  </si>
  <si>
    <t>MENTICIRRHUS SAXATILIS</t>
  </si>
  <si>
    <t>Northern kingfish</t>
  </si>
  <si>
    <t>Micropogonias undulatus</t>
  </si>
  <si>
    <t>MICROPOGONIAS UNDULATUS</t>
  </si>
  <si>
    <t>Micropogonias</t>
  </si>
  <si>
    <t>Atlantic croaker</t>
  </si>
  <si>
    <t>Pogonias cromis</t>
  </si>
  <si>
    <t>POGONIAS CROMIS</t>
  </si>
  <si>
    <t>Pogonias</t>
  </si>
  <si>
    <t>Black drum</t>
  </si>
  <si>
    <t>Sciaenops ocellatus</t>
  </si>
  <si>
    <t>SCIAENOPS OCELLATUS</t>
  </si>
  <si>
    <t>Sciaenops</t>
  </si>
  <si>
    <t>Red drum</t>
  </si>
  <si>
    <t>Syngnathus scovelli</t>
  </si>
  <si>
    <t>SYNGNATHUS SCOVELLI</t>
  </si>
  <si>
    <t>Gulf pipefish</t>
  </si>
  <si>
    <t>Syngnathus louisianae</t>
  </si>
  <si>
    <t>SYNGNATHUS LOUISIANAE</t>
  </si>
  <si>
    <t>Synodus foetens</t>
  </si>
  <si>
    <t>SYNODUS FOETENS</t>
  </si>
  <si>
    <t>Inshore lizardfish</t>
  </si>
  <si>
    <t>Synodus macrostigmus</t>
  </si>
  <si>
    <t>SYNODUS MACROSTIGMUS</t>
  </si>
  <si>
    <t>SYNODUS</t>
  </si>
  <si>
    <t>Synodus synodus</t>
  </si>
  <si>
    <t>SYNODUS SYNODUS</t>
  </si>
  <si>
    <t>SYNODONTIDAE</t>
  </si>
  <si>
    <t>SYNODONTIDAE SPP.</t>
  </si>
  <si>
    <t>Bellator militaris</t>
  </si>
  <si>
    <t>BELLATOR MILITARIS</t>
  </si>
  <si>
    <t>Bellator</t>
  </si>
  <si>
    <t>Horned searobin</t>
  </si>
  <si>
    <t>Prionotus alatus</t>
  </si>
  <si>
    <t>PRIONOTUS ALATUS</t>
  </si>
  <si>
    <t>Spiny searobin</t>
  </si>
  <si>
    <t>Prionotus martis</t>
  </si>
  <si>
    <t>PRIONOTUS MARTIS</t>
  </si>
  <si>
    <t>Gulf of Mexico barred searobin</t>
  </si>
  <si>
    <t>Prionotus ophryas</t>
  </si>
  <si>
    <t>PRIONOTUS OPHRYAS</t>
  </si>
  <si>
    <t>Bandtail searobin</t>
  </si>
  <si>
    <t>Prionotus roseus</t>
  </si>
  <si>
    <t>PRIONOTUS ROSEUS</t>
  </si>
  <si>
    <t>Bluespotted searobin</t>
  </si>
  <si>
    <t>Prionotus rubio</t>
  </si>
  <si>
    <t>PRIONOTUS RUBIO</t>
  </si>
  <si>
    <t>Blackwing searobin</t>
  </si>
  <si>
    <t>nearshore demersal carnivores</t>
  </si>
  <si>
    <t>PRIONOTUS</t>
  </si>
  <si>
    <t>Prionotus carolinus</t>
  </si>
  <si>
    <t>PRIONOTUS CAROLINUS</t>
  </si>
  <si>
    <t>GERREIDAE</t>
  </si>
  <si>
    <t>Gerreidae</t>
  </si>
  <si>
    <t>MOJARRAS</t>
  </si>
  <si>
    <t>Eucinostomus gula</t>
  </si>
  <si>
    <t>EUCINOSTOMUS GULA</t>
  </si>
  <si>
    <t>Eucinostomus</t>
  </si>
  <si>
    <t>Jenny mojarra</t>
  </si>
  <si>
    <t>Eucinostomus harengulus</t>
  </si>
  <si>
    <t>EUCINOSTOMUS HARENGULUS</t>
  </si>
  <si>
    <t>Tidewater mojarra</t>
  </si>
  <si>
    <t>EUCINOSTOMUS</t>
  </si>
  <si>
    <t>EUCINOSTOMUS SPP.</t>
  </si>
  <si>
    <t>Gerreiformes</t>
  </si>
  <si>
    <t>Eucinostomus melanopterus</t>
  </si>
  <si>
    <t>EUCINOSTOMUS MELANOPTERUS</t>
  </si>
  <si>
    <t>Eucinostomus argenteus</t>
  </si>
  <si>
    <t>EUCINOSTOMUS ARGENTEUS</t>
  </si>
  <si>
    <t>EUGERRES PLUMIERI</t>
  </si>
  <si>
    <t>Eugerres</t>
  </si>
  <si>
    <t>Eugerres plumieri</t>
  </si>
  <si>
    <t>Gobiesox strumosus</t>
  </si>
  <si>
    <t>GOBIESOX STRUMOSUS</t>
  </si>
  <si>
    <t>Blenniiformes</t>
  </si>
  <si>
    <t>Gobiesocidae</t>
  </si>
  <si>
    <t>Gobiesox</t>
  </si>
  <si>
    <t>Bathygobius soporator</t>
  </si>
  <si>
    <t>BATHYGOBIUS SOPORATOR</t>
  </si>
  <si>
    <t>Bathygobius</t>
  </si>
  <si>
    <t>Ctenogobius smaragdus</t>
  </si>
  <si>
    <t>CTENOGOBIUS SMARAGDUS</t>
  </si>
  <si>
    <t>Ctenogobius</t>
  </si>
  <si>
    <t>Ctenogobius shufeldti</t>
  </si>
  <si>
    <t>CTENOGOBIUS SHUFELDTI</t>
  </si>
  <si>
    <t>Ctenogobius boleosoma</t>
  </si>
  <si>
    <t>CTENOGOBIUS BOLEOSOMA</t>
  </si>
  <si>
    <t>Gobionellus oceanicus</t>
  </si>
  <si>
    <t>GOBIONELLUS OCEANICUS</t>
  </si>
  <si>
    <t>Gobionellus</t>
  </si>
  <si>
    <t>Gobiosoma bosc</t>
  </si>
  <si>
    <t>GOBIOSOMA BOSC</t>
  </si>
  <si>
    <t>Gobiosoma</t>
  </si>
  <si>
    <t>GOBIOSOMA</t>
  </si>
  <si>
    <t>Gobiosoma robustum</t>
  </si>
  <si>
    <t>GOBIOSOMA ROBUSTUM</t>
  </si>
  <si>
    <t>Lophogobius cyprinoides</t>
  </si>
  <si>
    <t>LOPHOGOBIUS CYPRINOIDES</t>
  </si>
  <si>
    <t>Lophogobius</t>
  </si>
  <si>
    <t>Microgobius gulosus</t>
  </si>
  <si>
    <t>MICROGOBIUS GULOSUS</t>
  </si>
  <si>
    <t>Microgobius</t>
  </si>
  <si>
    <t>Clown goby</t>
  </si>
  <si>
    <t>Microgobius thalassinus</t>
  </si>
  <si>
    <t>MICROGOBIUS THALASSINUS</t>
  </si>
  <si>
    <t>SPARIDAE</t>
  </si>
  <si>
    <t>SCUPS OR PORGIES</t>
  </si>
  <si>
    <t>Diplodus holbrookii</t>
  </si>
  <si>
    <t>DIPLODUS HOLBROOKII</t>
  </si>
  <si>
    <t>Diplodus</t>
  </si>
  <si>
    <t>Spottail seabream</t>
  </si>
  <si>
    <t>Lagodon rhomboides</t>
  </si>
  <si>
    <t>LAGODON RHOMBOIDES</t>
  </si>
  <si>
    <t>Lagodon</t>
  </si>
  <si>
    <t>Pinfish</t>
  </si>
  <si>
    <t>DECAPTERUS</t>
  </si>
  <si>
    <t>Decapterus</t>
  </si>
  <si>
    <t>SCADS</t>
  </si>
  <si>
    <t>Decapterus macarellus</t>
  </si>
  <si>
    <t>DECAPTERUS MACARELLUS</t>
  </si>
  <si>
    <t>Mackerel scad</t>
  </si>
  <si>
    <t>Decapterus punctatus</t>
  </si>
  <si>
    <t>DECAPTERUS PUNCTATUS</t>
  </si>
  <si>
    <t>Round scad</t>
  </si>
  <si>
    <t>Selar crumenophthalmus</t>
  </si>
  <si>
    <t>SELAR CRUMENOPHTHALMUS</t>
  </si>
  <si>
    <t>Selar</t>
  </si>
  <si>
    <t>Bigeye scad</t>
  </si>
  <si>
    <t>Trachurus lathami</t>
  </si>
  <si>
    <t>TRACHURUS LATHAMI</t>
  </si>
  <si>
    <t>Trachurus</t>
  </si>
  <si>
    <t>Rough scad</t>
  </si>
  <si>
    <t>CARANGIDAE</t>
  </si>
  <si>
    <t>BREVOORTIA</t>
  </si>
  <si>
    <t>BREVOORTIA SPP.</t>
  </si>
  <si>
    <t>Clupeiformes</t>
  </si>
  <si>
    <t>Clupeidae</t>
  </si>
  <si>
    <t>Brevoortia</t>
  </si>
  <si>
    <t>Brevoortia smithi</t>
  </si>
  <si>
    <t>BREVOORTIA SMITHI</t>
  </si>
  <si>
    <t>Brevoortia patronus</t>
  </si>
  <si>
    <t>BREVOORTIA PATRONUS</t>
  </si>
  <si>
    <t>Brevoortia gunteri</t>
  </si>
  <si>
    <t>BREVOORTIA GUNTERI</t>
  </si>
  <si>
    <t>Dorosoma cepedianum</t>
  </si>
  <si>
    <t>DOROSOMA CEPEDIANUM</t>
  </si>
  <si>
    <t>Dorosoma</t>
  </si>
  <si>
    <t>Dorosoma petenense</t>
  </si>
  <si>
    <t>DOROSOMA PETENENSE</t>
  </si>
  <si>
    <t>Harengula jaguana</t>
  </si>
  <si>
    <t>HARENGULA JAGUANA</t>
  </si>
  <si>
    <t>Harengula</t>
  </si>
  <si>
    <t>Scaled herring</t>
  </si>
  <si>
    <t>HARENGULA PENSACOLAE</t>
  </si>
  <si>
    <t>Opisthonema oglinum</t>
  </si>
  <si>
    <t>OPISTHONEMA OGLINUM</t>
  </si>
  <si>
    <t>Opisthonema</t>
  </si>
  <si>
    <t>Atlantic thread herring</t>
  </si>
  <si>
    <t>Sardinella aurita</t>
  </si>
  <si>
    <t>SARDINELLA AURITA</t>
  </si>
  <si>
    <t>Sardinella</t>
  </si>
  <si>
    <t>Round sardinella</t>
  </si>
  <si>
    <t>CLUPEIDAE</t>
  </si>
  <si>
    <t>TELEOSTEI</t>
  </si>
  <si>
    <t>UNIDENTIFIED BAITFISH</t>
  </si>
  <si>
    <t>Membras martinica</t>
  </si>
  <si>
    <t>MEMBRAS MARTINICA</t>
  </si>
  <si>
    <t>Atheriniformes</t>
  </si>
  <si>
    <t>Atherinopsidae</t>
  </si>
  <si>
    <t>Membras</t>
  </si>
  <si>
    <t>MENIDIA</t>
  </si>
  <si>
    <t>MENIDIA SPP.</t>
  </si>
  <si>
    <t>Menidia</t>
  </si>
  <si>
    <t>Menidia beryllina</t>
  </si>
  <si>
    <t>MENIDIA BERYLLINA</t>
  </si>
  <si>
    <t>Menidia peninsulae</t>
  </si>
  <si>
    <t>MENIDIA PENINSULAE</t>
  </si>
  <si>
    <t>Anchoa hepsetus</t>
  </si>
  <si>
    <t>ANCHOA HEPSETUS</t>
  </si>
  <si>
    <t>Engraulidae</t>
  </si>
  <si>
    <t>Anchoa</t>
  </si>
  <si>
    <t>Broad-striped anchovy</t>
  </si>
  <si>
    <t>Anchoa mitchilli</t>
  </si>
  <si>
    <t>ANCHOA MITCHILLI</t>
  </si>
  <si>
    <t>Bay anchovy</t>
  </si>
  <si>
    <t>Chloroscombrus chrysurus</t>
  </si>
  <si>
    <t>CHLOROSCOMBRUS CHRYSURUS</t>
  </si>
  <si>
    <t>Chloroscombrus</t>
  </si>
  <si>
    <t>Atlantic bumper</t>
  </si>
  <si>
    <t>Oligoplites saurus</t>
  </si>
  <si>
    <t>OLIGOPLITES SAURUS</t>
  </si>
  <si>
    <t>Oligoplites</t>
  </si>
  <si>
    <t>Leatherjacket</t>
  </si>
  <si>
    <t>DECAPTERUS SELAR TRACHURUS</t>
  </si>
  <si>
    <t>DECAPTERUS SELAR.TRACHURUS.SPP.</t>
  </si>
  <si>
    <t>Hemiramphus brasiliensis</t>
  </si>
  <si>
    <t>HEMIRAMPHUS BRASILIENSIS</t>
  </si>
  <si>
    <t>Beloniformes</t>
  </si>
  <si>
    <t>Hemiramphidae</t>
  </si>
  <si>
    <t>Hemiramphus</t>
  </si>
  <si>
    <t>Ballyhoo halfbeak</t>
  </si>
  <si>
    <t>Peprilus burti</t>
  </si>
  <si>
    <t>PEPRILUS BURTI</t>
  </si>
  <si>
    <t>Stromateidae</t>
  </si>
  <si>
    <t>Peprilus</t>
  </si>
  <si>
    <t>Gulf butterfish</t>
  </si>
  <si>
    <t>Peprilus paru</t>
  </si>
  <si>
    <t>PEPRILUS PARU</t>
  </si>
  <si>
    <t>American harvestfish</t>
  </si>
  <si>
    <t>Peprilus triacanthus</t>
  </si>
  <si>
    <t>PEPRILUS TRIACANTHUS</t>
  </si>
  <si>
    <t>Atlantic butterfish</t>
  </si>
  <si>
    <t>Mugil cephalus</t>
  </si>
  <si>
    <t>MUGIL CEPHALUS</t>
  </si>
  <si>
    <t>Mugiliformes</t>
  </si>
  <si>
    <t>Mugilidae</t>
  </si>
  <si>
    <t>Mugil</t>
  </si>
  <si>
    <t>Flathead grey mullet</t>
  </si>
  <si>
    <t>Mugil curema</t>
  </si>
  <si>
    <t>MUGIL CUREMA</t>
  </si>
  <si>
    <t>White mullet</t>
  </si>
  <si>
    <t>MUGIL TRICHODON</t>
  </si>
  <si>
    <t>Mugil trichodon</t>
  </si>
  <si>
    <t>Doryteuthis pleii</t>
  </si>
  <si>
    <t>LOLIGO PLEII</t>
  </si>
  <si>
    <t>Cephalopoda</t>
  </si>
  <si>
    <t>Teuthida</t>
  </si>
  <si>
    <t>Loliginidae</t>
  </si>
  <si>
    <t>Doryteuthis</t>
  </si>
  <si>
    <t>Loligo pealeii</t>
  </si>
  <si>
    <t>LOLIGO PEALEII</t>
  </si>
  <si>
    <t>Loligo</t>
  </si>
  <si>
    <t>SQUID</t>
  </si>
  <si>
    <t>Farfantepenaeus aztecus</t>
  </si>
  <si>
    <t>PENAEUS AZTECUS</t>
  </si>
  <si>
    <t>Malacostraca</t>
  </si>
  <si>
    <t>Decapoda</t>
  </si>
  <si>
    <t>Penaeidae</t>
  </si>
  <si>
    <t>Farfantepenaeus</t>
  </si>
  <si>
    <t>SHRIMP, BROWN</t>
  </si>
  <si>
    <t>Farfantepenaeus duorarum</t>
  </si>
  <si>
    <t>FARFANTEPENAEUS DUORARUM</t>
  </si>
  <si>
    <t>PENAEUS DUORARUM</t>
  </si>
  <si>
    <t>Litopenaeus setiferus</t>
  </si>
  <si>
    <t>PENAEUS SETIFERUS</t>
  </si>
  <si>
    <t>Litopenaeus</t>
  </si>
  <si>
    <t>SHRIMP, WHITE</t>
  </si>
  <si>
    <t>Metapenaeopsis goodei</t>
  </si>
  <si>
    <t>METAPENAEOPSIS GOODEI</t>
  </si>
  <si>
    <t>Metapenaeopsis</t>
  </si>
  <si>
    <t>SICYONIA</t>
  </si>
  <si>
    <t>Sicyoniidae</t>
  </si>
  <si>
    <t>Sicyonia</t>
  </si>
  <si>
    <t>SHRIMP, ROCK</t>
  </si>
  <si>
    <t>Sicyonia brevirostris</t>
  </si>
  <si>
    <t>SICYONIA BREVIROSTRIS</t>
  </si>
  <si>
    <t>Pleoticus robustus</t>
  </si>
  <si>
    <t>PLEOTICUS ROBUSTUS</t>
  </si>
  <si>
    <t>Solenoceridae</t>
  </si>
  <si>
    <t>Pleoticus</t>
  </si>
  <si>
    <t>SHRIMP, ROYAL RED</t>
  </si>
  <si>
    <t>Calappa flammea</t>
  </si>
  <si>
    <t>CALAPPA FLAMMEA</t>
  </si>
  <si>
    <t>Calappidae</t>
  </si>
  <si>
    <t>Calappa</t>
  </si>
  <si>
    <t>Chaceon fenneri</t>
  </si>
  <si>
    <t>CHACEON FENNERI</t>
  </si>
  <si>
    <t>GERYON FENNERI</t>
  </si>
  <si>
    <t>Geryonidae</t>
  </si>
  <si>
    <t>Chaceon</t>
  </si>
  <si>
    <t>CRAB, DEEPSEA GOLDEN</t>
  </si>
  <si>
    <t>Menippe mercenaria</t>
  </si>
  <si>
    <t>MENIPPE MERCENARIA</t>
  </si>
  <si>
    <t>Menippidae</t>
  </si>
  <si>
    <t>Menippe</t>
  </si>
  <si>
    <t>CRAB, FLORIDA STONE CLAWS</t>
  </si>
  <si>
    <t>Panulirus argus</t>
  </si>
  <si>
    <t>PANULIRUS ARGUS</t>
  </si>
  <si>
    <t>Palinuridae</t>
  </si>
  <si>
    <t>Panulirus</t>
  </si>
  <si>
    <t>LOBSTER, CARIBBEAN SPINY</t>
  </si>
  <si>
    <t>Callinectes sapidus</t>
  </si>
  <si>
    <t>CALLINECTES SAPIDUS</t>
  </si>
  <si>
    <t>Portunidae</t>
  </si>
  <si>
    <t>Callinectes</t>
  </si>
  <si>
    <t>Portunus gibbesii</t>
  </si>
  <si>
    <t>PORTUNUS GIBBESII</t>
  </si>
  <si>
    <t>Portunus</t>
  </si>
  <si>
    <t>Portunus ordwayi</t>
  </si>
  <si>
    <t>PORTUNUS ORDWAYI </t>
  </si>
  <si>
    <t>PORTUNUS ORDWAYII</t>
  </si>
  <si>
    <t>Portunus spinicarpus</t>
  </si>
  <si>
    <t>PORTUNUS SPINICARPUS</t>
  </si>
  <si>
    <t>Portunus spinimanus</t>
  </si>
  <si>
    <t>PORTUNUS SPINIMANUS</t>
  </si>
  <si>
    <t>Scyllarides nodifer</t>
  </si>
  <si>
    <t>SCYLLARIDES NODIFER</t>
  </si>
  <si>
    <t>Scyllaridae</t>
  </si>
  <si>
    <t>Scyllarides</t>
  </si>
  <si>
    <t>Scyllarus chacei</t>
  </si>
  <si>
    <t>SCYLLARUS CHACEI</t>
  </si>
  <si>
    <t>Scyllarus</t>
  </si>
  <si>
    <t>ECHINODERMATA</t>
  </si>
  <si>
    <t>ECHINODERM</t>
  </si>
  <si>
    <t>Arbacia punctulata</t>
  </si>
  <si>
    <t>ARBACIA PUNCTULATA</t>
  </si>
  <si>
    <t>Echinoidea</t>
  </si>
  <si>
    <t>Arbacioida</t>
  </si>
  <si>
    <t>Arbaciidae</t>
  </si>
  <si>
    <t>Arbacia</t>
  </si>
  <si>
    <t>Astropecten articulatus</t>
  </si>
  <si>
    <t>ASTROPECTEN ARTICULATUS</t>
  </si>
  <si>
    <t>Asteroidea</t>
  </si>
  <si>
    <t>Paxillosida</t>
  </si>
  <si>
    <t>Astropectinidae</t>
  </si>
  <si>
    <t>Astropecten</t>
  </si>
  <si>
    <t>Astropecten duplicatus</t>
  </si>
  <si>
    <t>ASTROPECTEN DUPLICATUS</t>
  </si>
  <si>
    <t>ASTROPECTEN</t>
  </si>
  <si>
    <t>Eucidaris tribuloides</t>
  </si>
  <si>
    <t>EUCIDARIS TRIBULOIDES</t>
  </si>
  <si>
    <t>Cidaroida</t>
  </si>
  <si>
    <t>Cidaridae</t>
  </si>
  <si>
    <t>Eucidaris</t>
  </si>
  <si>
    <t>Stylocidaris affinis</t>
  </si>
  <si>
    <t>STYLOCIDARIS AFFINIS</t>
  </si>
  <si>
    <t>Stylocidaris</t>
  </si>
  <si>
    <t>Echinaster spinulosus</t>
  </si>
  <si>
    <t>ECHINASTER SPINULOSUS</t>
  </si>
  <si>
    <t>Spinulosida</t>
  </si>
  <si>
    <t>Echinasteridae</t>
  </si>
  <si>
    <t>Echinaster</t>
  </si>
  <si>
    <t>ECHINASTER</t>
  </si>
  <si>
    <t>Astrophyton muricatum</t>
  </si>
  <si>
    <t>ASTROPHYTON MURICATUM</t>
  </si>
  <si>
    <t>ASTROPHYTON MURICATUS</t>
  </si>
  <si>
    <t>Ophiuroidea</t>
  </si>
  <si>
    <t>Phrynophiurida</t>
  </si>
  <si>
    <t>Gorgonocephalidae</t>
  </si>
  <si>
    <t>Astrophyton</t>
  </si>
  <si>
    <t>Luidia alternata</t>
  </si>
  <si>
    <t>LUIDIA ALTERNATA</t>
  </si>
  <si>
    <t>Luidiidae</t>
  </si>
  <si>
    <t>Luidia</t>
  </si>
  <si>
    <t>Luidia clathrata</t>
  </si>
  <si>
    <t>LUIDIA CLATHRATA</t>
  </si>
  <si>
    <t>LUIDIA</t>
  </si>
  <si>
    <t>Encope aberrans</t>
  </si>
  <si>
    <t>ENCOPE ABERRANS</t>
  </si>
  <si>
    <t>Clypeasteroida</t>
  </si>
  <si>
    <t>Mellitidae</t>
  </si>
  <si>
    <t>Encope</t>
  </si>
  <si>
    <t>Ophiothrix angulata</t>
  </si>
  <si>
    <t>OPHIOTHRIX ANGULATA</t>
  </si>
  <si>
    <t>Ophiurida</t>
  </si>
  <si>
    <t>Ophiothricidae</t>
  </si>
  <si>
    <t>Ophiothrix</t>
  </si>
  <si>
    <t>OPHIOTHRIX</t>
  </si>
  <si>
    <t>Ophiotrichidae</t>
  </si>
  <si>
    <t>Ophiolepis elegans</t>
  </si>
  <si>
    <t>OPHIOLEPIS ELEGANS</t>
  </si>
  <si>
    <t>Ophiuridae</t>
  </si>
  <si>
    <t>Ophiolepis</t>
  </si>
  <si>
    <t>Isostichopus badionotus</t>
  </si>
  <si>
    <t>ISOSTICHOPUS BADIONOTUS</t>
  </si>
  <si>
    <t>Holothuroidea</t>
  </si>
  <si>
    <t>Aspidochirotida</t>
  </si>
  <si>
    <t>Stichopodidae</t>
  </si>
  <si>
    <t>Isostichopus</t>
  </si>
  <si>
    <t>Lytechinus variegatus</t>
  </si>
  <si>
    <t>LYTECHINUS VARIEGATUS</t>
  </si>
  <si>
    <t>Temnopleuroida</t>
  </si>
  <si>
    <t>Toxopneustidae</t>
  </si>
  <si>
    <t>Lytechinus</t>
  </si>
  <si>
    <t>MOLLUSCA</t>
  </si>
  <si>
    <t>MOLLUSKS</t>
  </si>
  <si>
    <t>BIVALVIA</t>
  </si>
  <si>
    <t>Bivalvia</t>
  </si>
  <si>
    <t>CLAMS OR BIVALVES</t>
  </si>
  <si>
    <t>Crassostrea virginica</t>
  </si>
  <si>
    <t>CRASSOSTREA VIRGINICA</t>
  </si>
  <si>
    <t>Ostreoida</t>
  </si>
  <si>
    <t>Ostreidae</t>
  </si>
  <si>
    <t>Crassostrea</t>
  </si>
  <si>
    <t>OYSTER, EASTERN</t>
  </si>
  <si>
    <t>Argopecten gibbus</t>
  </si>
  <si>
    <t>ARGOPECTEN GIBBUS</t>
  </si>
  <si>
    <t>Pectinidae</t>
  </si>
  <si>
    <t>Argopecten</t>
  </si>
  <si>
    <t>ARGOPECTEN</t>
  </si>
  <si>
    <t>ARGOPECTEN SPP.</t>
  </si>
  <si>
    <t>Pectinoida</t>
  </si>
  <si>
    <t>Euvola raveneli</t>
  </si>
  <si>
    <t>EUVOLA RAVENELI </t>
  </si>
  <si>
    <t>PECTEN RAVENELLI</t>
  </si>
  <si>
    <t>Euvola</t>
  </si>
  <si>
    <t>Macrocallista nimbosa</t>
  </si>
  <si>
    <t>MACROCALLISTA NIMBOSA</t>
  </si>
  <si>
    <t>Veneroida</t>
  </si>
  <si>
    <t>Veneridae</t>
  </si>
  <si>
    <t>Macrocallista</t>
  </si>
  <si>
    <t>CLAM, SUNRAY VENUS</t>
  </si>
  <si>
    <t>MERCENARIA</t>
  </si>
  <si>
    <t>Mercenaria</t>
  </si>
  <si>
    <t>CLAM, QUAHOG</t>
  </si>
  <si>
    <t>Hippospongia lachne</t>
  </si>
  <si>
    <t>HIPPOSPONGIA LACHNE</t>
  </si>
  <si>
    <t>Demospongiae</t>
  </si>
  <si>
    <t>Dictyoceratida</t>
  </si>
  <si>
    <t>Spongiidae</t>
  </si>
  <si>
    <t>Hippospongia</t>
  </si>
  <si>
    <t>SPONGE, SHEEPSWOOL</t>
  </si>
  <si>
    <t>Spongia barbara</t>
  </si>
  <si>
    <t>SPONGIA BARBARA</t>
  </si>
  <si>
    <t>Spongia</t>
  </si>
  <si>
    <t>SPONGE, YELLOW</t>
  </si>
  <si>
    <t>PORIFERA</t>
  </si>
  <si>
    <t>PORIFERENCOTH</t>
  </si>
  <si>
    <t>PORIFERFINBRA</t>
  </si>
  <si>
    <t>PORIFERBARREL</t>
  </si>
  <si>
    <t>PORIFERVASTUB</t>
  </si>
  <si>
    <t>PORIFERBALL</t>
  </si>
  <si>
    <t>Paguristes sericeus</t>
  </si>
  <si>
    <t>PAGURISTES SERICEUS</t>
  </si>
  <si>
    <t>Diogenidae</t>
  </si>
  <si>
    <t>Paguristes</t>
  </si>
  <si>
    <t>Dromidia antillensis</t>
  </si>
  <si>
    <t>DROMIDIA ANTILLENSIS</t>
  </si>
  <si>
    <t>Dromiidae</t>
  </si>
  <si>
    <t>Dromidia</t>
  </si>
  <si>
    <t>Stenorhynchus seticornis</t>
  </si>
  <si>
    <t>STENORHYNCHUS SETICORNIS</t>
  </si>
  <si>
    <t>Inachidae</t>
  </si>
  <si>
    <t>Stenorhynchus</t>
  </si>
  <si>
    <t>Macrocoeloma trispinosum</t>
  </si>
  <si>
    <t>MACROCOELOMA TRISPINOSUM</t>
  </si>
  <si>
    <t>Majidae</t>
  </si>
  <si>
    <t>Macrocoeloma</t>
  </si>
  <si>
    <t>Stenocionops furcatus</t>
  </si>
  <si>
    <t>STENOCIONOPS FURCATUS</t>
  </si>
  <si>
    <t>STENOCIONOPS FURCATA</t>
  </si>
  <si>
    <t>Stenocionops</t>
  </si>
  <si>
    <t>Mithrax hispidus</t>
  </si>
  <si>
    <t>MITHRAX HISPIDUS</t>
  </si>
  <si>
    <t>Mithracidae</t>
  </si>
  <si>
    <t>Mithrax</t>
  </si>
  <si>
    <t>Mithrax pleuracanthus</t>
  </si>
  <si>
    <t>MITHRAX PLEURACANTHUS</t>
  </si>
  <si>
    <t>Americamysis almyra</t>
  </si>
  <si>
    <t>AMERICAMYSIS ALMYRA</t>
  </si>
  <si>
    <t>Mysida</t>
  </si>
  <si>
    <t>Mysidae</t>
  </si>
  <si>
    <t>Americamysis</t>
  </si>
  <si>
    <t>Taphromysis bowmani</t>
  </si>
  <si>
    <t>TAPHROMYSIS BOWMANI</t>
  </si>
  <si>
    <t>Taphromysis</t>
  </si>
  <si>
    <t>Rhithropanopeus harrisii</t>
  </si>
  <si>
    <t>RHITHROPANOPEUS HARRISII</t>
  </si>
  <si>
    <t>Panopeidae</t>
  </si>
  <si>
    <t>Rhithropanopeus</t>
  </si>
  <si>
    <t>Platylambrus granulata</t>
  </si>
  <si>
    <t>PLATYLAMBRUS GRANULATA</t>
  </si>
  <si>
    <t>PARTHENOPE GRANULATA</t>
  </si>
  <si>
    <t>Parthenopidae</t>
  </si>
  <si>
    <t>Platylambrus</t>
  </si>
  <si>
    <t>Pilumnus sayi</t>
  </si>
  <si>
    <t>PILUMNUS SAYI</t>
  </si>
  <si>
    <t>Pilumnidae</t>
  </si>
  <si>
    <t>Pilumnus</t>
  </si>
  <si>
    <t>Solenocera atlantidis</t>
  </si>
  <si>
    <t>SOLENOCERA ATLANTIDIS</t>
  </si>
  <si>
    <t>Solenocera</t>
  </si>
  <si>
    <t>SCYPHOZOA</t>
  </si>
  <si>
    <t>SCYPHOSA</t>
  </si>
  <si>
    <t>Scyphozoa</t>
  </si>
  <si>
    <t>JELLYFISH</t>
  </si>
  <si>
    <t>Aurelia aurita</t>
  </si>
  <si>
    <t>AURELIA AURITA</t>
  </si>
  <si>
    <t>Semaeostomeae</t>
  </si>
  <si>
    <t>Ulmaridae</t>
  </si>
  <si>
    <t>Aurelia</t>
  </si>
  <si>
    <t>ANTHOZOA</t>
  </si>
  <si>
    <t>Anthozoa</t>
  </si>
  <si>
    <t>CORALS</t>
  </si>
  <si>
    <t>CRUSTACEA</t>
  </si>
  <si>
    <t>SHELLFISH</t>
  </si>
  <si>
    <t>OSTEICHTHYES</t>
  </si>
  <si>
    <t>FINFISHES, MARINE, OTHER</t>
  </si>
  <si>
    <t>Achirus lineatus</t>
  </si>
  <si>
    <t>ACHIRUS LINEATUS</t>
  </si>
  <si>
    <t>Achirus</t>
  </si>
  <si>
    <t>Conocara macropterum</t>
  </si>
  <si>
    <t>CONOCARA MACROPTERUM</t>
  </si>
  <si>
    <t>Alepocephaliformes</t>
  </si>
  <si>
    <t>Alepocephalidae</t>
  </si>
  <si>
    <t>Conocara</t>
  </si>
  <si>
    <t>Isurus oxyrinchus</t>
  </si>
  <si>
    <t>ISURUS OXYRINCHUS</t>
  </si>
  <si>
    <t>Lamniformes</t>
  </si>
  <si>
    <t>Alopiidae</t>
  </si>
  <si>
    <t>Isurus</t>
  </si>
  <si>
    <t>Alpheus heterochaelis</t>
  </si>
  <si>
    <t>ALPHEUS HETEROCHAELIS</t>
  </si>
  <si>
    <t>Alpheidae</t>
  </si>
  <si>
    <t>Alpheus</t>
  </si>
  <si>
    <t>not included</t>
  </si>
  <si>
    <t>AMIA CALVA</t>
  </si>
  <si>
    <t>Amiiformes</t>
  </si>
  <si>
    <t>Amiidae</t>
  </si>
  <si>
    <t>Amia</t>
  </si>
  <si>
    <t>Amia calva</t>
  </si>
  <si>
    <t>Anas acuta</t>
  </si>
  <si>
    <t>ANAS ACUTA</t>
  </si>
  <si>
    <t>Aves</t>
  </si>
  <si>
    <t>Anseriformes</t>
  </si>
  <si>
    <t>Anatidae</t>
  </si>
  <si>
    <t>Anas</t>
  </si>
  <si>
    <t>Anas fulvigula</t>
  </si>
  <si>
    <t>ANAS FULVIGULA</t>
  </si>
  <si>
    <t>Aythya americana</t>
  </si>
  <si>
    <t>AYTHYA AMERICANA</t>
  </si>
  <si>
    <t>Aythya</t>
  </si>
  <si>
    <t>Mareca americana</t>
  </si>
  <si>
    <t>ANAS AMERICANA</t>
  </si>
  <si>
    <t>Mareca</t>
  </si>
  <si>
    <t>ANATIDAE</t>
  </si>
  <si>
    <t>Antennarius striatus</t>
  </si>
  <si>
    <t>ANTENNARIUS STRIATUS</t>
  </si>
  <si>
    <t>Antennariidae</t>
  </si>
  <si>
    <t>Antennarius</t>
  </si>
  <si>
    <t>Fowlerichthys ocellatus</t>
  </si>
  <si>
    <t>FOWLERICHTHYS OCELLATUS</t>
  </si>
  <si>
    <t>Fowlerichthys</t>
  </si>
  <si>
    <t>Fowlerichthys radiosus</t>
  </si>
  <si>
    <t>FOWLERICHTHYS RADIOSUS</t>
  </si>
  <si>
    <t>HEMANTHIAS VIVANUS</t>
  </si>
  <si>
    <t>Anthiadidae</t>
  </si>
  <si>
    <t>Aulostomus maculatus</t>
  </si>
  <si>
    <t>AULOSTOMUS MACULATUS</t>
  </si>
  <si>
    <t>Aulostomidae</t>
  </si>
  <si>
    <t>Aulostomus</t>
  </si>
  <si>
    <t>ABLENNES HIANS</t>
  </si>
  <si>
    <t>Belonidae</t>
  </si>
  <si>
    <t>Ablennes</t>
  </si>
  <si>
    <t>Ablennes hians</t>
  </si>
  <si>
    <t>ABLENNES</t>
  </si>
  <si>
    <t>STRONGYLURA NOTATA</t>
  </si>
  <si>
    <t>Strongylura</t>
  </si>
  <si>
    <t>Strongylura notata</t>
  </si>
  <si>
    <t>STRONGYLURA TIMUCU</t>
  </si>
  <si>
    <t>Strongylura timucu</t>
  </si>
  <si>
    <t>Strongylura marina</t>
  </si>
  <si>
    <t>STRONGYLURA MARINA</t>
  </si>
  <si>
    <t>STRONGYLURA</t>
  </si>
  <si>
    <t>Tylosurus crocodilus</t>
  </si>
  <si>
    <t>TYLOSURUS CROCODILUS</t>
  </si>
  <si>
    <t>Tylosurus</t>
  </si>
  <si>
    <t>Chasmodes saburrae</t>
  </si>
  <si>
    <t>CHASMODES SABURRAE</t>
  </si>
  <si>
    <t>Chasmodes</t>
  </si>
  <si>
    <t>Hypleurochilus geminatus</t>
  </si>
  <si>
    <t>HYPLEUROCHILUS GEMINATUS</t>
  </si>
  <si>
    <t>Hypleurochilus</t>
  </si>
  <si>
    <t>Trichopsetta ventralis</t>
  </si>
  <si>
    <t>TRICHOPSETTA VENTRALIS</t>
  </si>
  <si>
    <t>Trichopsetta</t>
  </si>
  <si>
    <t>Bregmaceros cantori</t>
  </si>
  <si>
    <t>BREGMACEROS CANTORI</t>
  </si>
  <si>
    <t>Bregmacerotidae</t>
  </si>
  <si>
    <t>Bregmaceros</t>
  </si>
  <si>
    <t>Diplacanthopoma brachysoma</t>
  </si>
  <si>
    <t>DIPLACANTHOPOMA BRACHYSOMA</t>
  </si>
  <si>
    <t>Bythitidae</t>
  </si>
  <si>
    <t>Diplacanthopoma</t>
  </si>
  <si>
    <t>Elagatis bipinnulata</t>
  </si>
  <si>
    <t>ELAGATIS BIPINNULATA</t>
  </si>
  <si>
    <t>Elagatis</t>
  </si>
  <si>
    <t>Carcharhinus obscurus</t>
  </si>
  <si>
    <t>CARCHARHINUS OBSCURUS</t>
  </si>
  <si>
    <t>Carcharhinus signatus</t>
  </si>
  <si>
    <t>CARCHARHINUS SIGNATUS</t>
  </si>
  <si>
    <t>Lepomis macrochirus</t>
  </si>
  <si>
    <t>LEPOMIS MACROCHIRUS</t>
  </si>
  <si>
    <t>Centrarchiformes</t>
  </si>
  <si>
    <t>Centrarchidae</t>
  </si>
  <si>
    <t>Lepomis</t>
  </si>
  <si>
    <t>Lepomis microlophus</t>
  </si>
  <si>
    <t>LEPOMIS MICROLOPHUS</t>
  </si>
  <si>
    <t>Lepomis punctatus</t>
  </si>
  <si>
    <t>LEPOMIS PUNCTATUS</t>
  </si>
  <si>
    <t>Micropterus salmoides</t>
  </si>
  <si>
    <t>MICROPTERUS SALMOIDES</t>
  </si>
  <si>
    <t>Micropterus</t>
  </si>
  <si>
    <t>CENTROLOPHIDAE</t>
  </si>
  <si>
    <t>Centrolophidae</t>
  </si>
  <si>
    <t>Chaunax pictus</t>
  </si>
  <si>
    <t>CHAUNAX PICTUS</t>
  </si>
  <si>
    <t>Chaunacidae</t>
  </si>
  <si>
    <t>Chaunax</t>
  </si>
  <si>
    <t>Lepidochelys kempii</t>
  </si>
  <si>
    <t>LEPIDOCHELYS KEMPI</t>
  </si>
  <si>
    <t>Testudines</t>
  </si>
  <si>
    <t>Cheloniidae</t>
  </si>
  <si>
    <t>Lepidochelys</t>
  </si>
  <si>
    <t>LEPIDOCHELYS KEMPII</t>
  </si>
  <si>
    <t>Hydrolagus mirabilis</t>
  </si>
  <si>
    <t>HYDROLAGUS MIRABILIS</t>
  </si>
  <si>
    <t>Chimaeriformes</t>
  </si>
  <si>
    <t>Chimaeridae</t>
  </si>
  <si>
    <t>Hydrolagus</t>
  </si>
  <si>
    <t>CHIRONOMUS</t>
  </si>
  <si>
    <t>Insecta</t>
  </si>
  <si>
    <t>Diptera</t>
  </si>
  <si>
    <t>Chironomidae</t>
  </si>
  <si>
    <t>Chironomus</t>
  </si>
  <si>
    <t>Chlorophthalmus agassizi</t>
  </si>
  <si>
    <t>CHLOROPHTHALMUS AGASSIZI</t>
  </si>
  <si>
    <t>Chlorophthalmidae</t>
  </si>
  <si>
    <t>Chlorophthalmus</t>
  </si>
  <si>
    <t>Cichlasoma dimerus</t>
  </si>
  <si>
    <t>CICHLASOMA DIMERUS</t>
  </si>
  <si>
    <t>Cichliformes</t>
  </si>
  <si>
    <t>Cichlidae</t>
  </si>
  <si>
    <t>Cichlasoma</t>
  </si>
  <si>
    <t>TILAPIA</t>
  </si>
  <si>
    <t>Tilapia</t>
  </si>
  <si>
    <t>TILAPIAS</t>
  </si>
  <si>
    <t>Alosa pseudoharengus</t>
  </si>
  <si>
    <t>ALOSA PSEUDOHARENGUS</t>
  </si>
  <si>
    <t>Alosa</t>
  </si>
  <si>
    <t>ALEWIFE</t>
  </si>
  <si>
    <t>Alosa sapidissima</t>
  </si>
  <si>
    <t>ALOSA SAPIDISSIMA</t>
  </si>
  <si>
    <t>SHAD, AMERICAN</t>
  </si>
  <si>
    <t>Cyprinodon variegatus</t>
  </si>
  <si>
    <t>CYPRINODON VARIEGATUS</t>
  </si>
  <si>
    <t>Cyprinodontiformes</t>
  </si>
  <si>
    <t>Cyprinodontidae</t>
  </si>
  <si>
    <t>Cyprinodon</t>
  </si>
  <si>
    <t>Floridichthys carpio</t>
  </si>
  <si>
    <t>FLORIDICHTHYS CARPIO</t>
  </si>
  <si>
    <t>Floridichthys</t>
  </si>
  <si>
    <t>Tursiops truncatus</t>
  </si>
  <si>
    <t>TURSIOPS TRUNCATUS</t>
  </si>
  <si>
    <t>Mammalia</t>
  </si>
  <si>
    <t>Artiodactyla</t>
  </si>
  <si>
    <t>Delphinidae</t>
  </si>
  <si>
    <t>Tursiops</t>
  </si>
  <si>
    <t>Mytilopsis leucophaeata</t>
  </si>
  <si>
    <t>MYTILOPSIS LEUCOPHAEATA</t>
  </si>
  <si>
    <t>Myida</t>
  </si>
  <si>
    <t>Dreissenidae</t>
  </si>
  <si>
    <t>Mytilopsis</t>
  </si>
  <si>
    <t>Etrumeus teres</t>
  </si>
  <si>
    <t>ETRUMEUS TERES</t>
  </si>
  <si>
    <t>Dussumieriidae</t>
  </si>
  <si>
    <t>Etrumeus</t>
  </si>
  <si>
    <t>Echeneis naucrates</t>
  </si>
  <si>
    <t>ECHENEIS NAUCRATES</t>
  </si>
  <si>
    <t>Echeneidae</t>
  </si>
  <si>
    <t>Echeneis</t>
  </si>
  <si>
    <t>Echeneis neucratoides</t>
  </si>
  <si>
    <t>ECHENEIS NEUCRATOIDES</t>
  </si>
  <si>
    <t>Whitefin sharksucker</t>
  </si>
  <si>
    <t>ECHENEIS</t>
  </si>
  <si>
    <t>ECHENEIS SPP.</t>
  </si>
  <si>
    <t>Remora remora</t>
  </si>
  <si>
    <t>REMORA REMORA</t>
  </si>
  <si>
    <t>Remora</t>
  </si>
  <si>
    <t>Shark sucker</t>
  </si>
  <si>
    <t>ECHENEIDAE</t>
  </si>
  <si>
    <t>Etmopterus schultzi</t>
  </si>
  <si>
    <t>ETMOPTERUS SCHULTZI</t>
  </si>
  <si>
    <t>Etmopteridae</t>
  </si>
  <si>
    <t>Etmopterus</t>
  </si>
  <si>
    <t>CHEILOPOGON EXSILIENS</t>
  </si>
  <si>
    <t>Exocoetidae</t>
  </si>
  <si>
    <t>Cheilopogon</t>
  </si>
  <si>
    <t>Cheilopogon exsiliens</t>
  </si>
  <si>
    <t>CHEILOPOGON MELANURUS</t>
  </si>
  <si>
    <t>Cheilopogon melanurus</t>
  </si>
  <si>
    <t>FISTULARIA TABACARIA</t>
  </si>
  <si>
    <t>Fistulariidae</t>
  </si>
  <si>
    <t>Fistularia</t>
  </si>
  <si>
    <t>Fistularia tabacaria</t>
  </si>
  <si>
    <t>Fistularia petimba</t>
  </si>
  <si>
    <t>FISTULARIA PETIMBA</t>
  </si>
  <si>
    <t>FUNDULUS MAJALIS</t>
  </si>
  <si>
    <t>Fundulidae</t>
  </si>
  <si>
    <t>Fundulus</t>
  </si>
  <si>
    <t>Fundulus majalis</t>
  </si>
  <si>
    <t>Fundulus grandis</t>
  </si>
  <si>
    <t>FUNDULUS GRANDIS</t>
  </si>
  <si>
    <t>Fundulus xenicus</t>
  </si>
  <si>
    <t>FUNDULUS XENICUS</t>
  </si>
  <si>
    <t>Fundulus similis</t>
  </si>
  <si>
    <t>FUNDULUS SIMILIS</t>
  </si>
  <si>
    <t>ADINIA XENICA</t>
  </si>
  <si>
    <t>LUCANIA PARVA</t>
  </si>
  <si>
    <t>Lucania</t>
  </si>
  <si>
    <t>Lucania parva</t>
  </si>
  <si>
    <t>Lucania goodei</t>
  </si>
  <si>
    <t>LUCANIA GOODEI</t>
  </si>
  <si>
    <t>LUCANIA</t>
  </si>
  <si>
    <t>Antigone canadensis</t>
  </si>
  <si>
    <t>GRUS CANADENSIS</t>
  </si>
  <si>
    <t>Gruiformes</t>
  </si>
  <si>
    <t>Gruidae</t>
  </si>
  <si>
    <t>Antigone</t>
  </si>
  <si>
    <t>Aldrovandia affinis</t>
  </si>
  <si>
    <t>ALDROVANDIA AFFINIS</t>
  </si>
  <si>
    <t>Notacanthiformes</t>
  </si>
  <si>
    <t>Halosauridae</t>
  </si>
  <si>
    <t>Aldrovandia</t>
  </si>
  <si>
    <t>Aldrovandia gracilis</t>
  </si>
  <si>
    <t>ALDROVANDIA GRACILIS</t>
  </si>
  <si>
    <t>AMEIURUS CATUS</t>
  </si>
  <si>
    <t>Ictaluridae</t>
  </si>
  <si>
    <t>Ameiurus</t>
  </si>
  <si>
    <t>Ameiurus catus</t>
  </si>
  <si>
    <t>ICTALURUS</t>
  </si>
  <si>
    <t>Ictalurus</t>
  </si>
  <si>
    <t>CATFISHES &amp; BULLHEADS</t>
  </si>
  <si>
    <t>ICTALURUS PUNCTATUS</t>
  </si>
  <si>
    <t>Ictalurus punctatus</t>
  </si>
  <si>
    <t>Ictalurus furcatus</t>
  </si>
  <si>
    <t>ICTALURUS FURCATUS</t>
  </si>
  <si>
    <t>Ipnops murrayi</t>
  </si>
  <si>
    <t>IPNOPS MURRAYI</t>
  </si>
  <si>
    <t>Ipnopidae</t>
  </si>
  <si>
    <t>Ipnops</t>
  </si>
  <si>
    <t>Kajikia albida</t>
  </si>
  <si>
    <t>KAJIKIA ALBIDA</t>
  </si>
  <si>
    <t>Istiophoriformes</t>
  </si>
  <si>
    <t>Kajikia</t>
  </si>
  <si>
    <t>Makaira nigricans</t>
  </si>
  <si>
    <t>MAKAIRA NIGRICANS</t>
  </si>
  <si>
    <t>Makaira</t>
  </si>
  <si>
    <t>Kyphosus sectatrix</t>
  </si>
  <si>
    <t>KYPHOSUS SECTATRIX</t>
  </si>
  <si>
    <t>Kyphosidae</t>
  </si>
  <si>
    <t>Kyphosus</t>
  </si>
  <si>
    <t>Kyphosus incisor</t>
  </si>
  <si>
    <t>KYPHOSUS INCISOR</t>
  </si>
  <si>
    <t>Sparisoma aurofrenatum</t>
  </si>
  <si>
    <t>SPARISOMA AUROFRENATUM</t>
  </si>
  <si>
    <t>Sparisoma</t>
  </si>
  <si>
    <t>Labrisomus nuchipinnis</t>
  </si>
  <si>
    <t>LABRISOMUS NUCHIPINNIS</t>
  </si>
  <si>
    <t>Labrisomidae</t>
  </si>
  <si>
    <t>Labrisomus</t>
  </si>
  <si>
    <t>Atractosteus spatula</t>
  </si>
  <si>
    <t>ATRACTOSTEUS SPATULA</t>
  </si>
  <si>
    <t>Semionotiformes</t>
  </si>
  <si>
    <t>Lepisosteidae</t>
  </si>
  <si>
    <t>Atractosteus</t>
  </si>
  <si>
    <t>LEPISOSTEUS PLATYRHINCUS</t>
  </si>
  <si>
    <t>Lepisosteus</t>
  </si>
  <si>
    <t>Lepisosteus platyrhincus</t>
  </si>
  <si>
    <t>LEPISOSTEUS OSSEUS</t>
  </si>
  <si>
    <t>Lepisosteus osseus</t>
  </si>
  <si>
    <t>Lepisosteus oculatus</t>
  </si>
  <si>
    <t>LEPISOSTEUS OCULATUS</t>
  </si>
  <si>
    <t>Lobotes surinamensis</t>
  </si>
  <si>
    <t>LOBOTES SURINAMENSIS</t>
  </si>
  <si>
    <t>Lobotiformes</t>
  </si>
  <si>
    <t>Lobotidae</t>
  </si>
  <si>
    <t>Lobotes</t>
  </si>
  <si>
    <t>BATHYGADUS</t>
  </si>
  <si>
    <t>Macrouridae</t>
  </si>
  <si>
    <t>Bathygadus</t>
  </si>
  <si>
    <t>Bathygadus macrops</t>
  </si>
  <si>
    <t>BATHYGADUS MACROPS</t>
  </si>
  <si>
    <t>Bathygadus melanobranchus</t>
  </si>
  <si>
    <t>BATHYGADUS MELANOBRANCHUS</t>
  </si>
  <si>
    <t>Coelorinchus caribbaeus</t>
  </si>
  <si>
    <t>COELORINCHUS CARIBBAEUS</t>
  </si>
  <si>
    <t>Coelorinchus</t>
  </si>
  <si>
    <t>CORYPHAENOIDES</t>
  </si>
  <si>
    <t>Coryphaenoides</t>
  </si>
  <si>
    <t>Coryphaenoides mexicanus</t>
  </si>
  <si>
    <t>CORYPHAENOIDES MEXICANUS</t>
  </si>
  <si>
    <t>Gadomus longifilis</t>
  </si>
  <si>
    <t>GADOMUS LONGIFILIS</t>
  </si>
  <si>
    <t>Gadomus</t>
  </si>
  <si>
    <t>NEZUMIA</t>
  </si>
  <si>
    <t>Nezumia</t>
  </si>
  <si>
    <t>Nezumia aequalis</t>
  </si>
  <si>
    <t>NEZUMIA AEQUALIS</t>
  </si>
  <si>
    <t>Sphagemacrurus grenadae</t>
  </si>
  <si>
    <t>SPHAGEMACRURUS GRENADAE</t>
  </si>
  <si>
    <t>Sphagemacrurus</t>
  </si>
  <si>
    <t>Squalogadus modificatus</t>
  </si>
  <si>
    <t>SQUALOGADUS MODIFICATUS</t>
  </si>
  <si>
    <t>Squalogadus</t>
  </si>
  <si>
    <t>Rangia cuneata</t>
  </si>
  <si>
    <t>RANGIA CUNEATA</t>
  </si>
  <si>
    <t>Venerida</t>
  </si>
  <si>
    <t>Mactridae</t>
  </si>
  <si>
    <t>Rangia</t>
  </si>
  <si>
    <t>CAULOLATILUS INTERMEDIUS</t>
  </si>
  <si>
    <t>Caulolatilus intermedius</t>
  </si>
  <si>
    <t>CAULOLATILUS CYANOPS</t>
  </si>
  <si>
    <t>Caulolatilus cyanops</t>
  </si>
  <si>
    <t>CAULOLATILUS</t>
  </si>
  <si>
    <t>Caulolatilus chrysops</t>
  </si>
  <si>
    <t>CAULOLATILUS CHRYSOPS</t>
  </si>
  <si>
    <t>MALACANTHIDAE</t>
  </si>
  <si>
    <t>Megalops atlanticus</t>
  </si>
  <si>
    <t>MEGALOPS ATLANTICUS</t>
  </si>
  <si>
    <t>Megalopidae</t>
  </si>
  <si>
    <t>Megalops</t>
  </si>
  <si>
    <t>Merluccius albidus</t>
  </si>
  <si>
    <t>MERLUCCIUS ALBIDUS</t>
  </si>
  <si>
    <t>Merlucciidae</t>
  </si>
  <si>
    <t>Merluccius</t>
  </si>
  <si>
    <t>Morone chrysops</t>
  </si>
  <si>
    <t>MORONE CHRYSOPS</t>
  </si>
  <si>
    <t>Moronidae</t>
  </si>
  <si>
    <t>Morone</t>
  </si>
  <si>
    <t>Morone mississippiensis</t>
  </si>
  <si>
    <t>MORONE MISSISSIPPIENSIS</t>
  </si>
  <si>
    <t>Brachidontes exustus</t>
  </si>
  <si>
    <t>BRACHIDONTES EXUSTUS</t>
  </si>
  <si>
    <t>Mytilida</t>
  </si>
  <si>
    <t>Mytilidae</t>
  </si>
  <si>
    <t>Brachidontes</t>
  </si>
  <si>
    <t>Bembrops gobioides</t>
  </si>
  <si>
    <t>BEMBROPS GOBIOIDES</t>
  </si>
  <si>
    <t>Bembrops</t>
  </si>
  <si>
    <t>ROSTRORAJA TEXANA</t>
  </si>
  <si>
    <t>OTOPHIDIUM OMOSTIGMA</t>
  </si>
  <si>
    <t>DIPLECTRUM BIVITATTUM</t>
  </si>
  <si>
    <t>EPINEPHILUS MORIO</t>
  </si>
  <si>
    <t>OPHICHTUS REX</t>
  </si>
  <si>
    <t>HELIOCOLENUS DACTYLOPTERUS</t>
  </si>
  <si>
    <t>MERLUCCIOUS ALBIDUS</t>
  </si>
  <si>
    <t>LAGADON RHOMBOIDES</t>
  </si>
  <si>
    <t>MICROPOGONIUS UNDULATUS</t>
  </si>
  <si>
    <t>SYNOTUS FOETENS</t>
  </si>
  <si>
    <t>MICROPOGNIAS UNDULATUS</t>
  </si>
  <si>
    <t>SQUATINA DUMERILI</t>
  </si>
  <si>
    <t>GOBIOIDES BROUSSONNETI</t>
  </si>
  <si>
    <t>OPHIDION WELSHI</t>
  </si>
  <si>
    <t>POROGADUS&lt;U+00A0&gt;CATENA</t>
  </si>
  <si>
    <t>BASSOZETUS NORMALIS</t>
  </si>
  <si>
    <t>BATHYONUS PECTORALIS</t>
  </si>
  <si>
    <t>COELORINCHUS CARMINATUS</t>
  </si>
  <si>
    <t>DICROLENE KANAZAWAI</t>
  </si>
  <si>
    <t>SYMPHURUS MARGINATUS</t>
  </si>
  <si>
    <t>RHYNCHOPS NIGER</t>
  </si>
  <si>
    <t>ANAS CLYPEATA</t>
  </si>
  <si>
    <t>STENELLA FRONTALIS&lt;U+00A0&gt;</t>
  </si>
  <si>
    <t>NARCINE</t>
  </si>
  <si>
    <t>Torpediniformes</t>
  </si>
  <si>
    <t>Narcinidae</t>
  </si>
  <si>
    <t>Narcine</t>
  </si>
  <si>
    <t>Narcine brasiliensis</t>
  </si>
  <si>
    <t>NARCINE BRASILIENSIS</t>
  </si>
  <si>
    <t>Venefica procera</t>
  </si>
  <si>
    <t>VENEFICA PROCERA</t>
  </si>
  <si>
    <t>Nettastomatidae</t>
  </si>
  <si>
    <t>Venefica</t>
  </si>
  <si>
    <t>PSENES MACULATUS</t>
  </si>
  <si>
    <t>Nomeidae</t>
  </si>
  <si>
    <t>Psenes</t>
  </si>
  <si>
    <t>Psenes maculatus</t>
  </si>
  <si>
    <t>POLYACANTHONOTUS</t>
  </si>
  <si>
    <t>Notacanthidae</t>
  </si>
  <si>
    <t>Polyacanthonotus</t>
  </si>
  <si>
    <t>Octopus vulgaris</t>
  </si>
  <si>
    <t>OCTOPUS VULGARIS</t>
  </si>
  <si>
    <t>Octopoda</t>
  </si>
  <si>
    <t>Octopodidae</t>
  </si>
  <si>
    <t>Octopus</t>
  </si>
  <si>
    <t>Carcharias taurus</t>
  </si>
  <si>
    <t>CARCHARIAS TAURUS</t>
  </si>
  <si>
    <t>Odontaspididae</t>
  </si>
  <si>
    <t>Carcharias</t>
  </si>
  <si>
    <t>BASSOZETUS</t>
  </si>
  <si>
    <t>Bassozetus</t>
  </si>
  <si>
    <t>Macrobrachium ohione</t>
  </si>
  <si>
    <t>MACROBRACHIUM OHIONE</t>
  </si>
  <si>
    <t>Palaemonidae</t>
  </si>
  <si>
    <t>Macrobrachium</t>
  </si>
  <si>
    <t>Palaemon mundusnovus</t>
  </si>
  <si>
    <t>PALAEMONETES INTERMEDIUS</t>
  </si>
  <si>
    <t>Palaemon</t>
  </si>
  <si>
    <t>Peristedion greyae</t>
  </si>
  <si>
    <t>PERISTEDION GREYAE</t>
  </si>
  <si>
    <t>Peristediidae</t>
  </si>
  <si>
    <t>Peristedion</t>
  </si>
  <si>
    <t>Belonesox belizanus</t>
  </si>
  <si>
    <t>BELONESOX BELIZANUS</t>
  </si>
  <si>
    <t>Poeciliidae</t>
  </si>
  <si>
    <t>Belonesox</t>
  </si>
  <si>
    <t>Gambusia holbrooki</t>
  </si>
  <si>
    <t>GAMBUSIA HOLBROOKI</t>
  </si>
  <si>
    <t>Gambusia</t>
  </si>
  <si>
    <t>Gambusia affinis</t>
  </si>
  <si>
    <t>GAMBUSIA AFFINIS</t>
  </si>
  <si>
    <t>Heterandria formosa</t>
  </si>
  <si>
    <t>HETERANDRIA FORMOSA</t>
  </si>
  <si>
    <t>Heterandria</t>
  </si>
  <si>
    <t>Poecilia latipinna</t>
  </si>
  <si>
    <t>POECILIA LATIPINNA</t>
  </si>
  <si>
    <t>Poecilia</t>
  </si>
  <si>
    <t>Poecilopsetta beanii</t>
  </si>
  <si>
    <t>POECILOPSETTA BEANII</t>
  </si>
  <si>
    <t>Poecilopsettidae</t>
  </si>
  <si>
    <t>Poecilopsetta</t>
  </si>
  <si>
    <t>POLYDACTYLUS VIRGINICUS</t>
  </si>
  <si>
    <t>Polynemidae</t>
  </si>
  <si>
    <t>Polydactylus</t>
  </si>
  <si>
    <t>Polydactylus virginicus</t>
  </si>
  <si>
    <t>Polydactylus octonemus</t>
  </si>
  <si>
    <t>POLYDACTYLUS OCTONEMUS</t>
  </si>
  <si>
    <t>PRISTIDAE</t>
  </si>
  <si>
    <t>Rhinopristiformes</t>
  </si>
  <si>
    <t>Pristidae</t>
  </si>
  <si>
    <t>Pristis pectinata</t>
  </si>
  <si>
    <t>PRISTIS PECTINATA</t>
  </si>
  <si>
    <t>Pristis</t>
  </si>
  <si>
    <t>Aplodinotus grunniens</t>
  </si>
  <si>
    <t>APLODINOTUS GRUNNIENS</t>
  </si>
  <si>
    <t>Aplodinotus</t>
  </si>
  <si>
    <t>Cynoscion nothus</t>
  </si>
  <si>
    <t>CYNOSCION NOTHUS</t>
  </si>
  <si>
    <t>Larimus fasciatus</t>
  </si>
  <si>
    <t>LARIMUS FASCIATUS</t>
  </si>
  <si>
    <t>Larimus</t>
  </si>
  <si>
    <t>Odontoscion dentex</t>
  </si>
  <si>
    <t>ODONTOSCION DENTEX</t>
  </si>
  <si>
    <t>Odontoscion</t>
  </si>
  <si>
    <t>Pontinus rathbuni</t>
  </si>
  <si>
    <t>PONTINUS RATHBUNI</t>
  </si>
  <si>
    <t>Dermatolepis inermis</t>
  </si>
  <si>
    <t>DERMATOLEPIS INERMIS</t>
  </si>
  <si>
    <t>Dermatolepis</t>
  </si>
  <si>
    <t>Stephanoberyx monae</t>
  </si>
  <si>
    <t>STEPHANOBERYX MONAE</t>
  </si>
  <si>
    <t>Stephanoberycidae</t>
  </si>
  <si>
    <t>Stephanoberyx</t>
  </si>
  <si>
    <t>Synaphobranchus oregoni</t>
  </si>
  <si>
    <t>SYNAPHOBRANCHUS OREGONI</t>
  </si>
  <si>
    <t>Synaphobranchidae</t>
  </si>
  <si>
    <t>Synaphobranchus</t>
  </si>
  <si>
    <t>ZU</t>
  </si>
  <si>
    <t>Lampriformes</t>
  </si>
  <si>
    <t>Trachipteridae</t>
  </si>
  <si>
    <t>Zu</t>
  </si>
  <si>
    <t>Trichiurus lepturus</t>
  </si>
  <si>
    <t>TRICHIURUS LEPTURUS</t>
  </si>
  <si>
    <t>Trichiuridae</t>
  </si>
  <si>
    <t>Trichiurus</t>
  </si>
  <si>
    <t>Astroscopus y-graecum</t>
  </si>
  <si>
    <t>ASTROSCOPUS Y-GRAECUM</t>
  </si>
  <si>
    <t>Uranoscopiformes</t>
  </si>
  <si>
    <t>Astroscopus</t>
  </si>
  <si>
    <t>UROBATIS JAMAICENSIS</t>
  </si>
  <si>
    <t>Urotrygonidae</t>
  </si>
  <si>
    <t>Urobatis</t>
  </si>
  <si>
    <t>Urobatis jamaicensis</t>
  </si>
  <si>
    <t>DECAPODA</t>
  </si>
  <si>
    <t>DECAPODS</t>
  </si>
  <si>
    <t>UNIDENTIFIED SMALL FISH</t>
  </si>
  <si>
    <t>NANA</t>
  </si>
  <si>
    <t>number</t>
  </si>
  <si>
    <t>name</t>
  </si>
  <si>
    <t>min_size_cm</t>
  </si>
  <si>
    <t>max_size_cm</t>
  </si>
  <si>
    <t>Old Model Structure</t>
  </si>
  <si>
    <t>offshore  dolphins</t>
  </si>
  <si>
    <t>Group name</t>
  </si>
  <si>
    <t>coastal dolphins</t>
  </si>
  <si>
    <t>dolphins</t>
  </si>
  <si>
    <t>seabirds</t>
  </si>
  <si>
    <t>pelagic sharks</t>
  </si>
  <si>
    <t>large coastal sharks</t>
  </si>
  <si>
    <t>small coastal sharks</t>
  </si>
  <si>
    <t>small sharks and rays</t>
  </si>
  <si>
    <t>rays/skates</t>
  </si>
  <si>
    <t>pelagic piscivores</t>
  </si>
  <si>
    <t>billfish &amp; tuna</t>
  </si>
  <si>
    <t>king mackerel juv</t>
  </si>
  <si>
    <t>oceanic small pelagics</t>
  </si>
  <si>
    <t>king mackerel adult</t>
  </si>
  <si>
    <t>cobia</t>
  </si>
  <si>
    <t>Spanish mackerel juv</t>
  </si>
  <si>
    <t>king Mackerel juv</t>
  </si>
  <si>
    <t>Spanish mackerel adult</t>
  </si>
  <si>
    <t>greater amberjack</t>
  </si>
  <si>
    <t>red snapper 0</t>
  </si>
  <si>
    <t>jacks, wahoo, dolphinfish, tunnies</t>
  </si>
  <si>
    <t>red snapper 1-2</t>
  </si>
  <si>
    <t>red snapper juv</t>
  </si>
  <si>
    <t>red snapper 3+</t>
  </si>
  <si>
    <t>red snapper adult</t>
  </si>
  <si>
    <t>vermilion snapper</t>
  </si>
  <si>
    <t>gray snapper</t>
  </si>
  <si>
    <t>other snapper</t>
  </si>
  <si>
    <t>tilefish</t>
  </si>
  <si>
    <t>gag 0</t>
  </si>
  <si>
    <t>yellowedge grouper 0-1</t>
  </si>
  <si>
    <t>gag 1</t>
  </si>
  <si>
    <t>yellowedge grouper 1-3</t>
  </si>
  <si>
    <t>gag 2</t>
  </si>
  <si>
    <t>yellowedge grouper 3+</t>
  </si>
  <si>
    <t>gag 3</t>
  </si>
  <si>
    <t>other deep water grouper</t>
  </si>
  <si>
    <t>gag 4</t>
  </si>
  <si>
    <t>gag 0-1</t>
  </si>
  <si>
    <t>gag 5+</t>
  </si>
  <si>
    <t>gag 1-3</t>
  </si>
  <si>
    <t>red grouper 0</t>
  </si>
  <si>
    <t>gag 3+</t>
  </si>
  <si>
    <t>red grouper 1</t>
  </si>
  <si>
    <t>red grouper 0-1</t>
  </si>
  <si>
    <t>red grouper 2</t>
  </si>
  <si>
    <t>red grouper 1-3</t>
  </si>
  <si>
    <t>red grouper 3</t>
  </si>
  <si>
    <t>red grouper 3+</t>
  </si>
  <si>
    <t>red grouper 4</t>
  </si>
  <si>
    <t>black grouper 0-1</t>
  </si>
  <si>
    <t>red grouper 5+</t>
  </si>
  <si>
    <t>black grouper 1-3</t>
  </si>
  <si>
    <t>black grouper</t>
  </si>
  <si>
    <t>black grouper 3+</t>
  </si>
  <si>
    <t>yellowedge grouper</t>
  </si>
  <si>
    <t>other shallow water grouper</t>
  </si>
  <si>
    <t>scamp</t>
  </si>
  <si>
    <t>goliath grouper</t>
  </si>
  <si>
    <t>triggerfish</t>
  </si>
  <si>
    <t>other SWG</t>
  </si>
  <si>
    <t>amberjack</t>
  </si>
  <si>
    <t>other DWG</t>
  </si>
  <si>
    <t>black sea bass</t>
  </si>
  <si>
    <t>blueline tilefish</t>
  </si>
  <si>
    <t>reef carnivores (grunt, porgy, wrasse, perch)</t>
  </si>
  <si>
    <t>golden tilefish</t>
  </si>
  <si>
    <t>reef omnivores (angelfish, surgeonfish, chub)</t>
  </si>
  <si>
    <t>lionfish juv</t>
  </si>
  <si>
    <t>coastal piscivores (seatrout, snook, tarpon)</t>
  </si>
  <si>
    <t>lionfish adult</t>
  </si>
  <si>
    <t>large coastal carnivores (drum, sheepshead)</t>
  </si>
  <si>
    <t>gray triggerfish</t>
  </si>
  <si>
    <t>small coastal carnivores</t>
  </si>
  <si>
    <t>coastal omnivores (pinfish, filefish, puffers)</t>
  </si>
  <si>
    <t>hogfish</t>
  </si>
  <si>
    <t>Sardine-Herring-Scad complex</t>
  </si>
  <si>
    <t>Anchovies and silversides</t>
  </si>
  <si>
    <t>Mullets</t>
  </si>
  <si>
    <t>Squid</t>
  </si>
  <si>
    <t>reef invertivores</t>
  </si>
  <si>
    <t>Adult Shrimps</t>
  </si>
  <si>
    <t>medium reef omnivores</t>
  </si>
  <si>
    <t>Lobsters</t>
  </si>
  <si>
    <t>small reef omnivores</t>
  </si>
  <si>
    <t>Large Crabs</t>
  </si>
  <si>
    <t>reef planktivores</t>
  </si>
  <si>
    <t>Octopods</t>
  </si>
  <si>
    <t>Stomatopods</t>
  </si>
  <si>
    <t>offshore demersal carnivores</t>
  </si>
  <si>
    <t>Echinoderms/Large gastropods</t>
  </si>
  <si>
    <t>Bivalves</t>
  </si>
  <si>
    <t>demersal omnivores</t>
  </si>
  <si>
    <t>Sessile epibenthos</t>
  </si>
  <si>
    <t>sardine herring scad</t>
  </si>
  <si>
    <t>Small infauna</t>
  </si>
  <si>
    <t>nearshore small pelagics</t>
  </si>
  <si>
    <t>Small mobile epifauna</t>
  </si>
  <si>
    <t>offshore small pelagics</t>
  </si>
  <si>
    <t>Meiofauna</t>
  </si>
  <si>
    <t>mullet</t>
  </si>
  <si>
    <t>Small Copepods</t>
  </si>
  <si>
    <t>squid</t>
  </si>
  <si>
    <t>Other Mesozooplankton</t>
  </si>
  <si>
    <t>shrimp</t>
  </si>
  <si>
    <t>CarnivZooplank</t>
  </si>
  <si>
    <t>large crabs</t>
  </si>
  <si>
    <t>Ichthyoplankton</t>
  </si>
  <si>
    <t>stomatopods</t>
  </si>
  <si>
    <t>CarnivJellyfish</t>
  </si>
  <si>
    <t>echinoderms</t>
  </si>
  <si>
    <t>Microbial Heterotrophs</t>
  </si>
  <si>
    <t>gastropods</t>
  </si>
  <si>
    <t>Macroalgae</t>
  </si>
  <si>
    <t>bivalves</t>
  </si>
  <si>
    <t>Microphytobenthos</t>
  </si>
  <si>
    <t>sessile epibenthos</t>
  </si>
  <si>
    <t>Phytoplankton</t>
  </si>
  <si>
    <t>mobile epifauna</t>
  </si>
  <si>
    <t>Sea grasses</t>
  </si>
  <si>
    <t>small infauna</t>
  </si>
  <si>
    <t>water column detritus</t>
  </si>
  <si>
    <t>meiobenthos</t>
  </si>
  <si>
    <t>sediment detritus</t>
  </si>
  <si>
    <t>carnivorous zooplankton</t>
  </si>
  <si>
    <t>dead discards</t>
  </si>
  <si>
    <t>herbivorous zooplankton</t>
  </si>
  <si>
    <t>omnivorous zooplankton</t>
  </si>
  <si>
    <t>ichthyoplankton</t>
  </si>
  <si>
    <t>jellyfish</t>
  </si>
  <si>
    <t>microbes</t>
  </si>
  <si>
    <t>anthozoans</t>
  </si>
  <si>
    <t>macroalgae</t>
  </si>
  <si>
    <t>microphytobenthos</t>
  </si>
  <si>
    <t>phytoplankton</t>
  </si>
  <si>
    <t>seagrass</t>
  </si>
  <si>
    <t>cluster</t>
  </si>
  <si>
    <t>modnumber</t>
  </si>
  <si>
    <t>clusname</t>
  </si>
  <si>
    <t>sciname</t>
  </si>
  <si>
    <t>Genus</t>
  </si>
  <si>
    <t>Species</t>
  </si>
  <si>
    <t>class.1</t>
  </si>
  <si>
    <t>sinusmexicanus</t>
  </si>
  <si>
    <t>plumbeus</t>
  </si>
  <si>
    <t>cuvier</t>
  </si>
  <si>
    <t>lewini</t>
  </si>
  <si>
    <t>mokarran</t>
  </si>
  <si>
    <t>acronotus</t>
  </si>
  <si>
    <t>brevipinna</t>
  </si>
  <si>
    <t>falciformis</t>
  </si>
  <si>
    <t>leucas</t>
  </si>
  <si>
    <t>limbatus</t>
  </si>
  <si>
    <t>cirratum</t>
  </si>
  <si>
    <t>isodon</t>
  </si>
  <si>
    <t>americanus</t>
  </si>
  <si>
    <t>sabinus</t>
  </si>
  <si>
    <t>Bluntnose stingray</t>
  </si>
  <si>
    <t>say</t>
  </si>
  <si>
    <t>canis</t>
  </si>
  <si>
    <t>norrisi</t>
  </si>
  <si>
    <t>eglanteria</t>
  </si>
  <si>
    <t>texana</t>
  </si>
  <si>
    <t>Cownose ray</t>
  </si>
  <si>
    <t>bonasus</t>
  </si>
  <si>
    <t>terraenovae</t>
  </si>
  <si>
    <t>cubensis</t>
  </si>
  <si>
    <t>Teleostei</t>
  </si>
  <si>
    <t>crysos</t>
  </si>
  <si>
    <t>canadum</t>
  </si>
  <si>
    <t>dumerili</t>
  </si>
  <si>
    <t>rivoliana</t>
  </si>
  <si>
    <t>barracuda</t>
  </si>
  <si>
    <t>Lined sole</t>
  </si>
  <si>
    <t>lineatus</t>
  </si>
  <si>
    <t>undecimalis</t>
  </si>
  <si>
    <t>saurus</t>
  </si>
  <si>
    <t>jaguana</t>
  </si>
  <si>
    <t>griseus</t>
  </si>
  <si>
    <t>microlepis</t>
  </si>
  <si>
    <t>phenax</t>
  </si>
  <si>
    <t>ophryas</t>
  </si>
  <si>
    <t>Atlantic needlefish</t>
  </si>
  <si>
    <t>marina</t>
  </si>
  <si>
    <t>foetens</t>
  </si>
  <si>
    <t>virginicus</t>
  </si>
  <si>
    <t>pseudomaculatus</t>
  </si>
  <si>
    <t>striata</t>
  </si>
  <si>
    <t>cruentata</t>
  </si>
  <si>
    <t>macrops</t>
  </si>
  <si>
    <t>formosum</t>
  </si>
  <si>
    <t>morio</t>
  </si>
  <si>
    <t>campechanus</t>
  </si>
  <si>
    <t>synagris</t>
  </si>
  <si>
    <t>chrysurus</t>
  </si>
  <si>
    <t>pagrus</t>
  </si>
  <si>
    <t>umbrosus</t>
  </si>
  <si>
    <t>maculatus</t>
  </si>
  <si>
    <t>remora</t>
  </si>
  <si>
    <t>aurorubens</t>
  </si>
  <si>
    <t>normani</t>
  </si>
  <si>
    <t>brasiliensis</t>
  </si>
  <si>
    <t>calcarata</t>
  </si>
  <si>
    <t>papillosum</t>
  </si>
  <si>
    <t>Chain pipefish</t>
  </si>
  <si>
    <t>louisianae</t>
  </si>
  <si>
    <t>intermedius</t>
  </si>
  <si>
    <t>quadricornis</t>
  </si>
  <si>
    <t>schoepfii</t>
  </si>
  <si>
    <t>capriscus</t>
  </si>
  <si>
    <t>bajonado</t>
  </si>
  <si>
    <t>nodosus</t>
  </si>
  <si>
    <t>proridens</t>
  </si>
  <si>
    <t>rostrata</t>
  </si>
  <si>
    <t>ocellatus</t>
  </si>
  <si>
    <t>sedentarius</t>
  </si>
  <si>
    <t>lanceolatus</t>
  </si>
  <si>
    <t>aurolineatum</t>
  </si>
  <si>
    <t>plumierii</t>
  </si>
  <si>
    <t>bathyphilus</t>
  </si>
  <si>
    <t>bivittatus</t>
  </si>
  <si>
    <t>bermudensis</t>
  </si>
  <si>
    <t>maximus</t>
  </si>
  <si>
    <t>jeannae</t>
  </si>
  <si>
    <t>plumieri</t>
  </si>
  <si>
    <t>ciliatus</t>
  </si>
  <si>
    <t>cubifrons</t>
  </si>
  <si>
    <t>arcuatus</t>
  </si>
  <si>
    <t>hispidus</t>
  </si>
  <si>
    <t>diomedeanus</t>
  </si>
  <si>
    <t>poeyi</t>
  </si>
  <si>
    <t>novacula</t>
  </si>
  <si>
    <t>probatocephalus</t>
  </si>
  <si>
    <t>felis</t>
  </si>
  <si>
    <t>faber</t>
  </si>
  <si>
    <t>gula</t>
  </si>
  <si>
    <t>curema</t>
  </si>
  <si>
    <t>nephelus</t>
  </si>
  <si>
    <t>spengleri</t>
  </si>
  <si>
    <t>aurifrons</t>
  </si>
  <si>
    <t>annularis</t>
  </si>
  <si>
    <t>notospilus</t>
  </si>
  <si>
    <t>phoebe</t>
  </si>
  <si>
    <t>robinsi</t>
  </si>
  <si>
    <t>arctifrons</t>
  </si>
  <si>
    <t>microps</t>
  </si>
  <si>
    <t>ocyurus</t>
  </si>
  <si>
    <t>rimosus</t>
  </si>
  <si>
    <t>kolpos</t>
  </si>
  <si>
    <t>saxicola</t>
  </si>
  <si>
    <t>chamaeleonticeps</t>
  </si>
  <si>
    <t>corniger</t>
  </si>
  <si>
    <t>pantostictus</t>
  </si>
  <si>
    <t>albigutta</t>
  </si>
  <si>
    <t>plectrodon</t>
  </si>
  <si>
    <t>scitulus</t>
  </si>
  <si>
    <t>stearnsi</t>
  </si>
  <si>
    <t>tribulus</t>
  </si>
  <si>
    <t>agassizii</t>
  </si>
  <si>
    <t>subligarius</t>
  </si>
  <si>
    <t>dorsalis</t>
  </si>
  <si>
    <t>caprinus</t>
  </si>
  <si>
    <t>floridae</t>
  </si>
  <si>
    <t>cirrata</t>
  </si>
  <si>
    <t>floridana</t>
  </si>
  <si>
    <t>marinus</t>
  </si>
  <si>
    <t>chrysoura</t>
  </si>
  <si>
    <t>arenarius</t>
  </si>
  <si>
    <t>nebulosus</t>
  </si>
  <si>
    <t>holbrookii</t>
  </si>
  <si>
    <t>crossotus</t>
  </si>
  <si>
    <t>harengulus</t>
  </si>
  <si>
    <t>Striped mojarra</t>
  </si>
  <si>
    <t>rhomboides</t>
  </si>
  <si>
    <t>xanthurus</t>
  </si>
  <si>
    <t>undulatus</t>
  </si>
  <si>
    <t>chrysoptera</t>
  </si>
  <si>
    <t>lethostigma</t>
  </si>
  <si>
    <t>cromis</t>
  </si>
  <si>
    <t>alatus</t>
  </si>
  <si>
    <t>martis</t>
  </si>
  <si>
    <t>roseus</t>
  </si>
  <si>
    <t>rubio</t>
  </si>
  <si>
    <t>Blackcheek tonguefish</t>
  </si>
  <si>
    <t>plagiusa</t>
  </si>
  <si>
    <t>scovelli</t>
  </si>
  <si>
    <t>gulosus</t>
  </si>
  <si>
    <t>Green goby</t>
  </si>
  <si>
    <t>thalassinus</t>
  </si>
  <si>
    <t>Diamond killifish</t>
  </si>
  <si>
    <t>Adinia xenica</t>
  </si>
  <si>
    <t>xenicus</t>
  </si>
  <si>
    <t>hepsetus</t>
  </si>
  <si>
    <t>mitchilli</t>
  </si>
  <si>
    <t>hippos</t>
  </si>
  <si>
    <t>Goldspotted killifish</t>
  </si>
  <si>
    <t>carpio</t>
  </si>
  <si>
    <t>Gulf killifish</t>
  </si>
  <si>
    <t>grandis</t>
  </si>
  <si>
    <t>American halfbeak</t>
  </si>
  <si>
    <t>Hyporhamphus meeki</t>
  </si>
  <si>
    <t>Hyporhamphus</t>
  </si>
  <si>
    <t>meeki</t>
  </si>
  <si>
    <t>Rough silverside</t>
  </si>
  <si>
    <t>martinica</t>
  </si>
  <si>
    <t>cephalus</t>
  </si>
  <si>
    <t>trichodon</t>
  </si>
  <si>
    <t>aurita</t>
  </si>
  <si>
    <t>punctatus</t>
  </si>
  <si>
    <t>lathami</t>
  </si>
  <si>
    <t>bathypelagic</t>
  </si>
  <si>
    <t>nspp</t>
  </si>
  <si>
    <t>mod number</t>
  </si>
  <si>
    <t>cluster number</t>
  </si>
  <si>
    <t>deep water snapper</t>
  </si>
  <si>
    <t>shallow water snapper</t>
  </si>
  <si>
    <t>red grouper 1-2</t>
  </si>
  <si>
    <t>red grouper 3-5</t>
  </si>
  <si>
    <t>red grouper 6+</t>
  </si>
  <si>
    <t>octopods</t>
  </si>
  <si>
    <t>Tomtate</t>
  </si>
  <si>
    <t>red lionfish</t>
  </si>
  <si>
    <t>dwarf goatfish</t>
  </si>
  <si>
    <t>dwarf sand perch</t>
  </si>
  <si>
    <t>goatfish</t>
  </si>
  <si>
    <t>Mexican flounder</t>
  </si>
  <si>
    <t>Roughback batfish</t>
  </si>
  <si>
    <t>sash flounder</t>
  </si>
  <si>
    <t>Scorpaena scrofa</t>
  </si>
  <si>
    <t>scorpionfish</t>
  </si>
  <si>
    <t>Shortnose batfish</t>
  </si>
  <si>
    <t>smallscale lizardfish</t>
  </si>
  <si>
    <t>smallmouth flounder</t>
  </si>
  <si>
    <t>common</t>
  </si>
  <si>
    <t>spabb</t>
  </si>
  <si>
    <t>stanzas</t>
  </si>
  <si>
    <t>fg</t>
  </si>
  <si>
    <t>age0</t>
  </si>
  <si>
    <t>age1</t>
  </si>
  <si>
    <t>age2</t>
  </si>
  <si>
    <t>age3</t>
  </si>
  <si>
    <t>age4</t>
  </si>
  <si>
    <t>age5</t>
  </si>
  <si>
    <t>age6</t>
  </si>
  <si>
    <t>age7</t>
  </si>
  <si>
    <t>age8</t>
  </si>
  <si>
    <t>age9</t>
  </si>
  <si>
    <t>gag</t>
  </si>
  <si>
    <t>0-1-2-3-4-5</t>
  </si>
  <si>
    <t>20-21-22-23-24-25</t>
  </si>
  <si>
    <t>king mackerel</t>
  </si>
  <si>
    <t>0-1</t>
  </si>
  <si>
    <t>8-9</t>
  </si>
  <si>
    <t>red grouper</t>
  </si>
  <si>
    <t>26-27-28-29-30-31</t>
  </si>
  <si>
    <t>red snapper</t>
  </si>
  <si>
    <t>0-1-3</t>
  </si>
  <si>
    <t>14-15-16</t>
  </si>
  <si>
    <t>spanish mackerel</t>
  </si>
  <si>
    <t>10-11</t>
  </si>
  <si>
    <t>yellowtail snapper</t>
  </si>
  <si>
    <t>predatory zooplankton PZ</t>
  </si>
  <si>
    <t>herbivorous zooplankton LZ</t>
  </si>
  <si>
    <t>microzooplankton SZ</t>
  </si>
  <si>
    <t>large phytoplankton LP</t>
  </si>
  <si>
    <t>small phytoplankton SP</t>
  </si>
  <si>
    <t>old_num</t>
  </si>
  <si>
    <t>MICE model name</t>
  </si>
  <si>
    <t>small reef fish</t>
  </si>
  <si>
    <t>demersal fish</t>
  </si>
  <si>
    <t>small pelagics</t>
  </si>
  <si>
    <t>macro crustaceans</t>
  </si>
  <si>
    <t>other inverts</t>
  </si>
  <si>
    <t>micro crustaceans</t>
  </si>
  <si>
    <t>large reef fish</t>
  </si>
  <si>
    <t>snappers</t>
  </si>
  <si>
    <t>sharks</t>
  </si>
  <si>
    <t>Prey \ predator</t>
  </si>
  <si>
    <t>macro-crustaceans</t>
  </si>
  <si>
    <t>micro-crustaceans</t>
  </si>
  <si>
    <t>other invertebrates</t>
  </si>
  <si>
    <t>MICE num</t>
  </si>
  <si>
    <t>omitted</t>
  </si>
  <si>
    <t>keep</t>
  </si>
  <si>
    <t>textbox</t>
  </si>
  <si>
    <t>offshore  dolphins, coastal dolphins</t>
  </si>
  <si>
    <t>offshore  dolphins, coastal dolphins, seabirds</t>
  </si>
  <si>
    <t>offshore  dolphins, coastal dolphins, seabirds, small sharks and rays</t>
  </si>
  <si>
    <t>offshore  dolphins, coastal dolphins, seabirds, small sharks and rays, cobia</t>
  </si>
  <si>
    <t>offshore  dolphins, coastal dolphins, seabirds, small sharks and rays, cobia, yellowedge grouper</t>
  </si>
  <si>
    <t>offshore  dolphins, coastal dolphins, seabirds, small sharks and rays, cobia, yellowedge grouper, other DWG</t>
  </si>
  <si>
    <t>offshore  dolphins, coastal dolphins, seabirds, small sharks and rays, cobia, yellowedge grouper, other DWG, blueline tilefish</t>
  </si>
  <si>
    <t>offshore  dolphins, coastal dolphins, seabirds, small sharks and rays, cobia, yellowedge grouper, other DWG, blueline tilefish, golden tilefish</t>
  </si>
  <si>
    <t>offshore  dolphins, coastal dolphins, seabirds, small sharks and rays, cobia, yellowedge grouper, other DWG, blueline tilefish, golden tilefish, lionfish juv</t>
  </si>
  <si>
    <t>offshore  dolphins, coastal dolphins, seabirds, small sharks and rays, cobia, yellowedge grouper, other DWG, blueline tilefish, golden tilefish, lionfish juv, lionfish adult</t>
  </si>
  <si>
    <t>offshore  dolphins, coastal dolphins, seabirds, small sharks and rays, cobia, yellowedge grouper, other DWG, blueline tilefish, golden tilefish, lionfish juv, lionfish adult, gray triggerfish</t>
  </si>
  <si>
    <t>offshore  dolphins, coastal dolphins, seabirds, small sharks and rays, cobia, yellowedge grouper, other DWG, blueline tilefish, golden tilefish, lionfish juv, lionfish adult, gray triggerfish, red porgy</t>
  </si>
  <si>
    <t>offshore  dolphins, coastal dolphins, seabirds, small sharks and rays, cobia, yellowedge grouper, other DWG, blueline tilefish, golden tilefish, lionfish juv, lionfish adult, gray triggerfish, red porgy, hogfish</t>
  </si>
  <si>
    <t>offshore  dolphins, coastal dolphins, seabirds, small sharks and rays, cobia, yellowedge grouper, other DWG, blueline tilefish, golden tilefish, lionfish juv, lionfish adult, gray triggerfish, red porgy, hogfish, black sea bass</t>
  </si>
  <si>
    <t>offshore  dolphins, coastal dolphins, seabirds, small sharks and rays, cobia, yellowedge grouper, other DWG, blueline tilefish, golden tilefish, lionfish juv, lionfish adult, gray triggerfish, red porgy, hogfish, black sea bass, mullet</t>
  </si>
  <si>
    <t>offshore  dolphins, coastal dolphins, seabirds, small sharks and rays, cobia, yellowedge grouper, other DWG, blueline tilefish, golden tilefish, lionfish juv, lionfish adult, gray triggerfish, red porgy, hogfish, black sea bass, mullet, squid</t>
  </si>
  <si>
    <t>offshore  dolphins, coastal dolphins, seabirds, small sharks and rays, cobia, yellowedge grouper, other DWG, blueline tilefish, golden tilefish, lionfish juv, lionfish adult, gray triggerfish, red porgy, hogfish, black sea bass, mullet, squid, jellyfish</t>
  </si>
  <si>
    <t>offshore  dolphins, coastal dolphins, seabirds, small sharks and rays, cobia, yellowedge grouper, other DWG, blueline tilefish, golden tilefish, lionfish juv, lionfish adult, gray triggerfish, red porgy, hogfish, black sea bass, mullet, squid, jellyfish, ichthyoplankton</t>
  </si>
  <si>
    <t>offshore  dolphins, coastal dolphins, seabirds, small sharks and rays, cobia, yellowedge grouper, other DWG, blueline tilefish, golden tilefish, lionfish juv, lionfish adult, gray triggerfish, red porgy, hogfish, black sea bass, mullet, squid, jellyfish, ichthyoplankton, anthozoans</t>
  </si>
  <si>
    <t>offshore  dolphins, coastal dolphins, seabirds, small sharks and rays, cobia, yellowedge grouper, other DWG, blueline tilefish, golden tilefish, lionfish juv, lionfish adult, gray triggerfish, red porgy, hogfish, black sea bass, mullet, squid, jellyfish, ichthyoplankton, anthozoans, seagrass</t>
  </si>
  <si>
    <t>offshore  dolphins, coastal dolphins, seabirds, small sharks and rays, cobia, yellowedge grouper, other DWG, blueline tilefish, golden tilefish, lionfish juv, lionfish adult, gray triggerfish, red porgy, hogfish, black sea bass, mullet, squid, jellyfish, ichthyoplankton, anthozoans, seagrass, macroalgae</t>
  </si>
  <si>
    <t>offshore  dolphins, coastal dolphins, seabirds, small sharks and rays, cobia, yellowedge grouper, other DWG, blueline tilefish, golden tilefish, lionfish juv, lionfish adult, gray triggerfish, red porgy, hogfish, black sea bass, mullet, squid, jellyfish, ichthyoplankton, anthozoans, seagrass, macroalgae, not included</t>
  </si>
  <si>
    <t>pelagic sharks, large demersal sharks</t>
  </si>
  <si>
    <t>pelagic piscivores, king mackerel juv</t>
  </si>
  <si>
    <t>pelagic piscivores, king mackerel juv, king mackerel adult</t>
  </si>
  <si>
    <t>pelagic piscivores, king mackerel juv, king mackerel adult, Spanish mackerel juv</t>
  </si>
  <si>
    <t>pelagic piscivores, king mackerel juv, king mackerel adult, Spanish mackerel juv, Spanish mackerel adult</t>
  </si>
  <si>
    <t>pelagic piscivores, king mackerel juv, king mackerel adult, Spanish mackerel juv, Spanish mackerel adult, coastal piscivores</t>
  </si>
  <si>
    <t>red snapper 0, red snapper 1-2</t>
  </si>
  <si>
    <t>red snapper 0, red snapper 1-2, red snapper 3+</t>
  </si>
  <si>
    <t>red snapper 0, red snapper 1-2, red snapper 3+, vermilion snapper</t>
  </si>
  <si>
    <t>red snapper 0, red snapper 1-2, red snapper 3+, vermilion snapper, gray snapper</t>
  </si>
  <si>
    <t>red snapper 0, red snapper 1-2, red snapper 3+, vermilion snapper, gray snapper, other snapper</t>
  </si>
  <si>
    <t>greater amberjack, black grouper</t>
  </si>
  <si>
    <t>greater amberjack, black grouper, scamp</t>
  </si>
  <si>
    <t>greater amberjack, black grouper, scamp, goliath grouper</t>
  </si>
  <si>
    <t>greater amberjack, black grouper, scamp, goliath grouper, other SWG</t>
  </si>
  <si>
    <t>reef carnivores, reef crustacean eaters</t>
  </si>
  <si>
    <t>reef carnivores, reef crustacean eaters, reef invertivores</t>
  </si>
  <si>
    <t>reef carnivores, reef crustacean eaters, reef invertivores, medium reef omnivores</t>
  </si>
  <si>
    <t>reef carnivores, reef crustacean eaters, reef invertivores, medium reef omnivores, small reef omnivores</t>
  </si>
  <si>
    <t>reef carnivores, reef crustacean eaters, reef invertivores, medium reef omnivores, small reef omnivores, reef planktivores</t>
  </si>
  <si>
    <t>offshore demersal carnivores, nearshore demersal carnivores</t>
  </si>
  <si>
    <t>offshore demersal carnivores, nearshore demersal carnivores, demersal omnivores</t>
  </si>
  <si>
    <t>sardine herring scad, nearshore small pelagics</t>
  </si>
  <si>
    <t>sardine herring scad, nearshore small pelagics, offshore small pelagics</t>
  </si>
  <si>
    <t>shrimp, large crabs</t>
  </si>
  <si>
    <t>stomatopods, echinoderms</t>
  </si>
  <si>
    <t>stomatopods, echinoderms, gastropods</t>
  </si>
  <si>
    <t>stomatopods, echinoderms, gastropods, bivalves</t>
  </si>
  <si>
    <t>stomatopods, echinoderms, gastropods, bivalves, sessile epibenthos</t>
  </si>
  <si>
    <t>stomatopods, echinoderms, gastropods, bivalves, sessile epibenthos, small infauna</t>
  </si>
  <si>
    <t>stomatopods, echinoderms, gastropods, bivalves, sessile epibenthos, small infauna, meiobenthos</t>
  </si>
  <si>
    <t>stomatopods, echinoderms, gastropods, bivalves, sessile epibenthos, small infauna, meiobenthos, microbes</t>
  </si>
  <si>
    <t>predatory zooplankton PZ, herbivorous zooplankton LZ</t>
  </si>
  <si>
    <t>predatory zooplankton PZ, herbivorous zooplankton LZ, microzooplankton SZ</t>
  </si>
  <si>
    <t>large phytoplankton LP, small phytoplankton SP</t>
  </si>
  <si>
    <t>water column detritus, sediment detritus</t>
  </si>
  <si>
    <t>MICE name</t>
  </si>
  <si>
    <t>WFS-FEM functional groups</t>
  </si>
  <si>
    <t>Fleet\group</t>
  </si>
  <si>
    <t>recreational</t>
  </si>
  <si>
    <t>commercial reef</t>
  </si>
  <si>
    <t>shrimp fishery</t>
  </si>
  <si>
    <t>other</t>
  </si>
  <si>
    <t>commercial VL gag</t>
  </si>
  <si>
    <t>commercial LL gag</t>
  </si>
  <si>
    <t>recreational headboat gag</t>
  </si>
  <si>
    <t>recreational charter gag</t>
  </si>
  <si>
    <t>recreational private shore gag</t>
  </si>
  <si>
    <t>commercial HL red</t>
  </si>
  <si>
    <t>commercial LL red</t>
  </si>
  <si>
    <t>commercial trap red</t>
  </si>
  <si>
    <t>recreational red</t>
  </si>
  <si>
    <t>modname_mice</t>
  </si>
  <si>
    <t>modnum_mice</t>
  </si>
  <si>
    <t>fg_mice</t>
  </si>
  <si>
    <t>4-5-6-7-8-9</t>
  </si>
  <si>
    <t>10-11-12-13-14-15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</si>
</sst>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3">
    <xf numFmtId="0" fontId="0" fillId="0" borderId="0"/>
    <xf numFmtId="0" fontId="8" fillId="0" borderId="0"/>
    <xf numFmtId="0" fontId="6" fillId="0" borderId="0"/>
  </cellStyleXfs>
  <cellXfs count="20">
    <xf numFmtId="0" fontId="0" fillId="0" borderId="0" xfId="0"/>
    <xf numFmtId="10" fontId="0" fillId="0" borderId="0" xfId="0" applyNumberFormat="1"/>
    <xf numFmtId="0" fontId="8" fillId="0" borderId="0" xfId="1"/>
    <xf numFmtId="10" fontId="0" fillId="2" borderId="0" xfId="0" applyNumberFormat="1" applyFill="1"/>
    <xf numFmtId="2" fontId="0" fillId="0" borderId="0" xfId="0" applyNumberFormat="1"/>
    <xf numFmtId="0" fontId="0" fillId="3" borderId="0" xfId="0" applyFill="1"/>
    <xf numFmtId="0" fontId="7" fillId="0" borderId="0" xfId="1" applyFont="1"/>
    <xf numFmtId="0" fontId="6" fillId="0" borderId="0" xfId="2"/>
    <xf numFmtId="49" fontId="6" fillId="0" borderId="0" xfId="2" applyNumberFormat="1"/>
    <xf numFmtId="0" fontId="5" fillId="0" borderId="0" xfId="1" applyFont="1"/>
    <xf numFmtId="0" fontId="4" fillId="0" borderId="0" xfId="1" applyFont="1"/>
    <xf numFmtId="0" fontId="3" fillId="0" borderId="0" xfId="1" applyFont="1"/>
    <xf numFmtId="0" fontId="2" fillId="0" borderId="0" xfId="1" applyFont="1"/>
    <xf numFmtId="0" fontId="0" fillId="0" borderId="0" xfId="0" applyAlignment="1">
      <alignment wrapText="1"/>
    </xf>
    <xf numFmtId="0" fontId="9" fillId="0" borderId="0" xfId="0" applyFont="1"/>
    <xf numFmtId="0" fontId="9" fillId="0" borderId="0" xfId="0" applyFont="1" applyAlignment="1">
      <alignment wrapText="1"/>
    </xf>
    <xf numFmtId="0" fontId="0" fillId="0" borderId="0" xfId="0" applyAlignment="1">
      <alignment vertical="center"/>
    </xf>
    <xf numFmtId="0" fontId="0" fillId="0" borderId="0" xfId="0" applyAlignment="1">
      <alignment vertical="center" wrapText="1"/>
    </xf>
    <xf numFmtId="164" fontId="0" fillId="0" borderId="0" xfId="0" applyNumberFormat="1"/>
    <xf numFmtId="0" fontId="1" fillId="0" borderId="0" xfId="2" applyFont="1"/>
  </cellXfs>
  <cellStyles count="3">
    <cellStyle name="Normal" xfId="0" builtinId="0"/>
    <cellStyle name="Normal 2" xfId="1" xr:uid="{00000000-0005-0000-0000-000001000000}"/>
    <cellStyle name="Normal 3" xfId="2" xr:uid="{B5E32CEA-139B-4F59-BB99-F7D12B6EB3DA}"/>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23"/>
  <sheetViews>
    <sheetView workbookViewId="0">
      <pane xSplit="33" ySplit="1" topLeftCell="AO71" activePane="bottomRight" state="frozen"/>
      <selection pane="topRight" activeCell="AH1" sqref="AH1"/>
      <selection pane="bottomLeft" activeCell="A2" sqref="A2"/>
      <selection pane="bottomRight" activeCell="AS3" sqref="AS3"/>
    </sheetView>
  </sheetViews>
  <sheetFormatPr defaultRowHeight="15" x14ac:dyDescent="0.25"/>
  <cols>
    <col min="1" max="1" width="12.7109375" bestFit="1" customWidth="1"/>
    <col min="2" max="2" width="27.140625" bestFit="1" customWidth="1"/>
    <col min="3" max="3" width="33" bestFit="1" customWidth="1"/>
    <col min="4" max="5" width="36.5703125" customWidth="1"/>
    <col min="6" max="6" width="12.140625" hidden="1" customWidth="1"/>
    <col min="7" max="7" width="16.28515625" hidden="1" customWidth="1"/>
    <col min="8" max="8" width="20.28515625" hidden="1" customWidth="1"/>
    <col min="9" max="9" width="22" hidden="1" customWidth="1"/>
    <col min="10" max="10" width="18.85546875" hidden="1" customWidth="1"/>
    <col min="11" max="11" width="34.85546875" customWidth="1"/>
    <col min="12" max="15" width="13" hidden="1" customWidth="1"/>
    <col min="16" max="16" width="7.28515625" hidden="1" customWidth="1"/>
    <col min="17" max="17" width="13" hidden="1" customWidth="1"/>
    <col min="18" max="18" width="11.5703125" hidden="1" customWidth="1"/>
    <col min="19" max="19" width="16.7109375" hidden="1" customWidth="1"/>
    <col min="20" max="20" width="12.42578125" hidden="1" customWidth="1"/>
    <col min="21" max="21" width="8.7109375" hidden="1" customWidth="1"/>
    <col min="22" max="22" width="14.42578125" hidden="1" customWidth="1"/>
    <col min="23" max="23" width="11.7109375" hidden="1" customWidth="1"/>
    <col min="24" max="33" width="0" hidden="1" customWidth="1"/>
    <col min="44" max="44" width="14.42578125" bestFit="1" customWidth="1"/>
  </cols>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2678</v>
      </c>
      <c r="AS1" t="s">
        <v>2677</v>
      </c>
    </row>
    <row r="2" spans="1:48" x14ac:dyDescent="0.25">
      <c r="A2">
        <v>4</v>
      </c>
      <c r="B2" t="str">
        <f>VLOOKUP(A2,'model groups'!$A$3:$C$86,2,FALSE)</f>
        <v>pelagic sharks</v>
      </c>
      <c r="C2" t="s">
        <v>43</v>
      </c>
      <c r="D2" t="s">
        <v>44</v>
      </c>
      <c r="E2" t="s">
        <v>44</v>
      </c>
      <c r="G2" t="s">
        <v>45</v>
      </c>
      <c r="H2" t="s">
        <v>46</v>
      </c>
      <c r="I2" t="s">
        <v>47</v>
      </c>
      <c r="J2" t="s">
        <v>48</v>
      </c>
      <c r="K2" t="s">
        <v>49</v>
      </c>
      <c r="L2">
        <v>0.1575</v>
      </c>
      <c r="M2">
        <v>3.5002131749999998</v>
      </c>
      <c r="N2">
        <v>183.40605619999999</v>
      </c>
      <c r="O2">
        <v>4.34</v>
      </c>
      <c r="P2">
        <v>87.51</v>
      </c>
      <c r="Q2">
        <v>3.1782750000000002</v>
      </c>
      <c r="R2" t="s">
        <v>50</v>
      </c>
      <c r="S2" t="s">
        <v>51</v>
      </c>
      <c r="T2" t="str">
        <f t="shared" ref="T2:T7" si="0">IF(OR(AK2=1,AN2=1),"reef","no")</f>
        <v>reef</v>
      </c>
      <c r="U2" s="1">
        <v>0.85768576995843993</v>
      </c>
      <c r="V2" s="1">
        <v>8.4341765190868181E-2</v>
      </c>
      <c r="W2" s="1">
        <v>5.5005501896504281E-3</v>
      </c>
      <c r="X2" s="1">
        <v>3.3336667755451079E-4</v>
      </c>
      <c r="Y2" s="1">
        <v>4.677134462887466E-2</v>
      </c>
      <c r="Z2" s="1">
        <v>0</v>
      </c>
      <c r="AA2" s="1">
        <v>3.9670633768900771E-3</v>
      </c>
      <c r="AB2" s="1">
        <v>1.4001399777221442E-3</v>
      </c>
      <c r="AC2">
        <v>1</v>
      </c>
      <c r="AD2">
        <v>0</v>
      </c>
      <c r="AE2">
        <v>0</v>
      </c>
      <c r="AF2">
        <v>1</v>
      </c>
      <c r="AG2">
        <v>0</v>
      </c>
      <c r="AH2">
        <v>1</v>
      </c>
      <c r="AI2">
        <v>0</v>
      </c>
      <c r="AJ2">
        <v>1</v>
      </c>
      <c r="AK2">
        <v>0</v>
      </c>
      <c r="AL2">
        <v>0</v>
      </c>
      <c r="AM2">
        <v>0</v>
      </c>
      <c r="AN2">
        <v>1</v>
      </c>
      <c r="AO2">
        <v>0</v>
      </c>
      <c r="AP2">
        <v>0</v>
      </c>
      <c r="AQ2">
        <v>1</v>
      </c>
      <c r="AR2">
        <v>1</v>
      </c>
      <c r="AS2" t="s">
        <v>2594</v>
      </c>
      <c r="AU2" s="14"/>
      <c r="AV2" s="14"/>
    </row>
    <row r="3" spans="1:48" x14ac:dyDescent="0.25">
      <c r="A3">
        <v>4</v>
      </c>
      <c r="B3" t="str">
        <f>VLOOKUP(A3,'model groups'!$A$3:$C$86,2,FALSE)</f>
        <v>pelagic sharks</v>
      </c>
      <c r="C3" t="s">
        <v>52</v>
      </c>
      <c r="D3" t="s">
        <v>53</v>
      </c>
      <c r="E3" t="s">
        <v>53</v>
      </c>
      <c r="G3" t="s">
        <v>45</v>
      </c>
      <c r="H3" t="s">
        <v>46</v>
      </c>
      <c r="I3" t="s">
        <v>47</v>
      </c>
      <c r="J3" t="s">
        <v>54</v>
      </c>
      <c r="K3" t="s">
        <v>55</v>
      </c>
      <c r="L3">
        <v>0.16071428600000001</v>
      </c>
      <c r="M3">
        <v>1.0339962064999999</v>
      </c>
      <c r="N3">
        <v>747.04676480000001</v>
      </c>
      <c r="O3">
        <v>4.53</v>
      </c>
      <c r="P3">
        <v>63.83</v>
      </c>
      <c r="Q3">
        <v>1.3859440000000001</v>
      </c>
      <c r="R3" t="s">
        <v>50</v>
      </c>
      <c r="S3" t="s">
        <v>51</v>
      </c>
      <c r="T3" t="str">
        <f t="shared" si="0"/>
        <v>no</v>
      </c>
      <c r="U3" s="1">
        <v>0.87132141014048259</v>
      </c>
      <c r="V3" s="1">
        <v>7.0398151674377671E-2</v>
      </c>
      <c r="W3" s="1">
        <v>2.4235428536467863E-2</v>
      </c>
      <c r="X3" s="1">
        <v>0</v>
      </c>
      <c r="Y3" s="1">
        <v>2.7697634987189038E-2</v>
      </c>
      <c r="Z3" s="1">
        <v>0</v>
      </c>
      <c r="AA3" s="1">
        <v>6.3473746614827915E-3</v>
      </c>
      <c r="AB3" s="1">
        <v>0</v>
      </c>
      <c r="AC3">
        <v>0</v>
      </c>
      <c r="AD3">
        <v>0</v>
      </c>
      <c r="AE3">
        <v>0</v>
      </c>
      <c r="AF3">
        <v>1</v>
      </c>
      <c r="AG3">
        <v>0</v>
      </c>
      <c r="AH3">
        <v>1</v>
      </c>
      <c r="AI3">
        <v>0</v>
      </c>
      <c r="AJ3">
        <v>0</v>
      </c>
      <c r="AK3">
        <v>0</v>
      </c>
      <c r="AL3">
        <v>0</v>
      </c>
      <c r="AM3">
        <v>0</v>
      </c>
      <c r="AN3">
        <v>0</v>
      </c>
      <c r="AO3">
        <v>0</v>
      </c>
      <c r="AP3">
        <v>0</v>
      </c>
      <c r="AQ3">
        <v>1</v>
      </c>
      <c r="AR3">
        <v>1</v>
      </c>
      <c r="AS3" t="s">
        <v>2594</v>
      </c>
      <c r="AU3" s="16"/>
      <c r="AV3" s="16"/>
    </row>
    <row r="4" spans="1:48" x14ac:dyDescent="0.25">
      <c r="A4">
        <v>4</v>
      </c>
      <c r="B4" t="str">
        <f>VLOOKUP(A4,'model groups'!$A$3:$C$86,2,FALSE)</f>
        <v>pelagic sharks</v>
      </c>
      <c r="C4" t="s">
        <v>52</v>
      </c>
      <c r="D4" t="s">
        <v>56</v>
      </c>
      <c r="E4" t="s">
        <v>56</v>
      </c>
      <c r="G4" t="s">
        <v>45</v>
      </c>
      <c r="H4" t="s">
        <v>46</v>
      </c>
      <c r="I4" t="s">
        <v>47</v>
      </c>
      <c r="J4" t="s">
        <v>54</v>
      </c>
      <c r="K4" t="s">
        <v>55</v>
      </c>
      <c r="L4">
        <v>0.16071428600000001</v>
      </c>
      <c r="M4">
        <v>1.0339962064999999</v>
      </c>
      <c r="N4">
        <v>747.04676480000001</v>
      </c>
      <c r="O4">
        <v>4.53</v>
      </c>
      <c r="P4">
        <v>63.83</v>
      </c>
      <c r="Q4">
        <v>1.3859440000000001</v>
      </c>
      <c r="R4" t="s">
        <v>50</v>
      </c>
      <c r="S4" t="s">
        <v>51</v>
      </c>
      <c r="T4" t="str">
        <f t="shared" si="0"/>
        <v>no</v>
      </c>
      <c r="U4" s="1">
        <v>0.87132141014048259</v>
      </c>
      <c r="V4" s="1">
        <v>7.0398151674377671E-2</v>
      </c>
      <c r="W4" s="1">
        <v>2.4235428536467863E-2</v>
      </c>
      <c r="X4" s="1">
        <v>0</v>
      </c>
      <c r="Y4" s="1">
        <v>2.7697634987189038E-2</v>
      </c>
      <c r="Z4" s="1">
        <v>0</v>
      </c>
      <c r="AA4" s="1">
        <v>6.3473746614827915E-3</v>
      </c>
      <c r="AB4" s="1">
        <v>0</v>
      </c>
      <c r="AC4">
        <v>0</v>
      </c>
      <c r="AD4">
        <v>0</v>
      </c>
      <c r="AE4">
        <v>0</v>
      </c>
      <c r="AF4">
        <v>1</v>
      </c>
      <c r="AG4">
        <v>0</v>
      </c>
      <c r="AH4">
        <v>0</v>
      </c>
      <c r="AI4">
        <v>0</v>
      </c>
      <c r="AJ4">
        <v>1</v>
      </c>
      <c r="AK4">
        <v>0</v>
      </c>
      <c r="AL4">
        <v>0</v>
      </c>
      <c r="AM4">
        <v>0</v>
      </c>
      <c r="AN4">
        <v>0</v>
      </c>
      <c r="AO4">
        <v>0</v>
      </c>
      <c r="AP4">
        <v>0</v>
      </c>
      <c r="AQ4">
        <v>0</v>
      </c>
      <c r="AR4">
        <v>1</v>
      </c>
      <c r="AS4" t="s">
        <v>2594</v>
      </c>
      <c r="AU4" s="16"/>
      <c r="AV4" s="16"/>
    </row>
    <row r="5" spans="1:48" x14ac:dyDescent="0.25">
      <c r="A5">
        <v>4</v>
      </c>
      <c r="B5" t="str">
        <f>VLOOKUP(A5,'model groups'!$A$3:$C$86,2,FALSE)</f>
        <v>pelagic sharks</v>
      </c>
      <c r="C5" t="s">
        <v>57</v>
      </c>
      <c r="D5" t="s">
        <v>58</v>
      </c>
      <c r="E5" t="s">
        <v>58</v>
      </c>
      <c r="G5" t="s">
        <v>45</v>
      </c>
      <c r="H5" t="s">
        <v>46</v>
      </c>
      <c r="I5" t="s">
        <v>59</v>
      </c>
      <c r="J5" t="s">
        <v>60</v>
      </c>
      <c r="K5" t="s">
        <v>61</v>
      </c>
      <c r="L5">
        <v>0.19644867099999999</v>
      </c>
      <c r="M5">
        <v>1.8266730855</v>
      </c>
      <c r="N5">
        <v>432.11198009999998</v>
      </c>
      <c r="O5">
        <v>4.0966666790000001</v>
      </c>
      <c r="P5">
        <v>81.260000000000005</v>
      </c>
      <c r="Q5">
        <v>1.80809</v>
      </c>
      <c r="R5" t="s">
        <v>50</v>
      </c>
      <c r="S5" t="s">
        <v>51</v>
      </c>
      <c r="T5" t="str">
        <f t="shared" si="0"/>
        <v>no</v>
      </c>
      <c r="U5" s="1">
        <v>0.75723237313964498</v>
      </c>
      <c r="V5" s="1">
        <v>0.18977469331470712</v>
      </c>
      <c r="W5" s="1">
        <v>0</v>
      </c>
      <c r="X5" s="1">
        <v>9.998667097239984E-4</v>
      </c>
      <c r="Y5" s="1">
        <v>5.165977793934836E-2</v>
      </c>
      <c r="Z5" s="1">
        <v>0</v>
      </c>
      <c r="AA5" s="1">
        <v>3.3328889657555501E-4</v>
      </c>
      <c r="AB5" s="1">
        <v>0</v>
      </c>
      <c r="AC5">
        <v>0</v>
      </c>
      <c r="AD5">
        <v>0</v>
      </c>
      <c r="AE5">
        <v>0</v>
      </c>
      <c r="AF5">
        <v>1</v>
      </c>
      <c r="AG5">
        <v>0</v>
      </c>
      <c r="AH5">
        <v>1</v>
      </c>
      <c r="AI5">
        <v>0</v>
      </c>
      <c r="AJ5">
        <v>1</v>
      </c>
      <c r="AK5">
        <v>0</v>
      </c>
      <c r="AL5">
        <v>0</v>
      </c>
      <c r="AM5">
        <v>0</v>
      </c>
      <c r="AN5">
        <v>0</v>
      </c>
      <c r="AO5">
        <v>0</v>
      </c>
      <c r="AP5">
        <v>0</v>
      </c>
      <c r="AQ5">
        <v>1</v>
      </c>
      <c r="AR5">
        <v>1</v>
      </c>
      <c r="AS5" t="s">
        <v>2594</v>
      </c>
      <c r="AU5" s="16"/>
      <c r="AV5" s="16"/>
    </row>
    <row r="6" spans="1:48" x14ac:dyDescent="0.25">
      <c r="A6">
        <v>4</v>
      </c>
      <c r="B6" t="str">
        <f>VLOOKUP(A6,'model groups'!$A$3:$C$86,2,FALSE)</f>
        <v>pelagic sharks</v>
      </c>
      <c r="C6" t="s">
        <v>62</v>
      </c>
      <c r="D6" t="s">
        <v>63</v>
      </c>
      <c r="E6" t="s">
        <v>63</v>
      </c>
      <c r="G6" t="s">
        <v>45</v>
      </c>
      <c r="H6" t="s">
        <v>46</v>
      </c>
      <c r="I6" t="s">
        <v>59</v>
      </c>
      <c r="J6" t="s">
        <v>60</v>
      </c>
      <c r="K6" t="s">
        <v>64</v>
      </c>
      <c r="L6">
        <v>0.15</v>
      </c>
      <c r="M6">
        <v>1.704503715</v>
      </c>
      <c r="N6">
        <v>609.59737840000003</v>
      </c>
      <c r="O6">
        <v>4.3266666669999996</v>
      </c>
      <c r="P6">
        <v>86.03</v>
      </c>
      <c r="Q6">
        <v>1.8535299999999999</v>
      </c>
      <c r="R6" t="s">
        <v>50</v>
      </c>
      <c r="S6" t="s">
        <v>51</v>
      </c>
      <c r="T6" t="str">
        <f t="shared" si="0"/>
        <v>no</v>
      </c>
      <c r="U6" s="1">
        <v>0.85300000088734995</v>
      </c>
      <c r="V6" s="1">
        <v>0.11199999921439999</v>
      </c>
      <c r="W6" s="1">
        <v>0</v>
      </c>
      <c r="X6" s="1">
        <v>2.0000000499000004E-3</v>
      </c>
      <c r="Y6" s="1">
        <v>3.2999999848349997E-2</v>
      </c>
      <c r="Z6" s="1">
        <v>0</v>
      </c>
      <c r="AA6" s="1">
        <v>0</v>
      </c>
      <c r="AB6" s="1">
        <v>0</v>
      </c>
      <c r="AC6">
        <v>0</v>
      </c>
      <c r="AD6">
        <v>0</v>
      </c>
      <c r="AE6">
        <v>0</v>
      </c>
      <c r="AF6">
        <v>0</v>
      </c>
      <c r="AG6">
        <v>0</v>
      </c>
      <c r="AH6">
        <v>1</v>
      </c>
      <c r="AI6">
        <v>0</v>
      </c>
      <c r="AJ6">
        <v>1</v>
      </c>
      <c r="AK6">
        <v>0</v>
      </c>
      <c r="AL6">
        <v>0</v>
      </c>
      <c r="AM6">
        <v>0</v>
      </c>
      <c r="AN6">
        <v>0</v>
      </c>
      <c r="AO6">
        <v>0</v>
      </c>
      <c r="AP6">
        <v>0</v>
      </c>
      <c r="AQ6">
        <v>1</v>
      </c>
      <c r="AR6">
        <v>1</v>
      </c>
      <c r="AS6" t="s">
        <v>2594</v>
      </c>
      <c r="AU6" s="16"/>
      <c r="AV6" s="16"/>
    </row>
    <row r="7" spans="1:48" x14ac:dyDescent="0.25">
      <c r="A7">
        <v>4</v>
      </c>
      <c r="B7" t="str">
        <f>VLOOKUP(A7,'model groups'!$A$3:$C$86,2,FALSE)</f>
        <v>pelagic sharks</v>
      </c>
      <c r="C7" t="s">
        <v>65</v>
      </c>
      <c r="D7" t="s">
        <v>66</v>
      </c>
      <c r="E7" t="s">
        <v>66</v>
      </c>
      <c r="G7" t="s">
        <v>45</v>
      </c>
      <c r="H7" t="s">
        <v>46</v>
      </c>
      <c r="I7" t="s">
        <v>67</v>
      </c>
      <c r="J7" t="s">
        <v>68</v>
      </c>
      <c r="K7" t="s">
        <v>69</v>
      </c>
      <c r="L7">
        <v>0.48597769800000001</v>
      </c>
      <c r="M7">
        <v>5.0075480520000006</v>
      </c>
      <c r="N7">
        <v>85.617935340000002</v>
      </c>
      <c r="O7">
        <v>3.7549999999999999</v>
      </c>
      <c r="P7">
        <v>63.38</v>
      </c>
      <c r="Q7">
        <v>1.0128385</v>
      </c>
      <c r="R7" t="s">
        <v>70</v>
      </c>
      <c r="S7" t="s">
        <v>51</v>
      </c>
      <c r="T7" t="str">
        <f t="shared" si="0"/>
        <v>no</v>
      </c>
      <c r="U7" s="1">
        <v>0.10079856025308505</v>
      </c>
      <c r="V7" s="1">
        <v>0.77477464616616198</v>
      </c>
      <c r="W7" s="1">
        <v>1.2256967605777372E-2</v>
      </c>
      <c r="X7" s="1">
        <v>0</v>
      </c>
      <c r="Y7" s="1">
        <v>1.5142640901352807E-2</v>
      </c>
      <c r="Z7" s="1">
        <v>0</v>
      </c>
      <c r="AA7" s="1">
        <v>9.5912915325824244E-2</v>
      </c>
      <c r="AB7" s="1">
        <v>1.1142697477984364E-3</v>
      </c>
      <c r="AC7">
        <v>1</v>
      </c>
      <c r="AD7">
        <v>0</v>
      </c>
      <c r="AE7">
        <v>0</v>
      </c>
      <c r="AF7">
        <v>0</v>
      </c>
      <c r="AG7">
        <v>0</v>
      </c>
      <c r="AH7">
        <v>0</v>
      </c>
      <c r="AI7">
        <v>0</v>
      </c>
      <c r="AJ7">
        <v>1</v>
      </c>
      <c r="AK7">
        <v>0</v>
      </c>
      <c r="AL7">
        <v>0</v>
      </c>
      <c r="AM7">
        <v>0</v>
      </c>
      <c r="AN7">
        <v>0</v>
      </c>
      <c r="AO7">
        <v>0</v>
      </c>
      <c r="AP7">
        <v>0</v>
      </c>
      <c r="AQ7">
        <v>0</v>
      </c>
      <c r="AR7">
        <v>1</v>
      </c>
      <c r="AS7" t="s">
        <v>2594</v>
      </c>
      <c r="AU7" s="16"/>
      <c r="AV7" s="16"/>
    </row>
    <row r="8" spans="1:48" x14ac:dyDescent="0.25">
      <c r="A8">
        <v>5</v>
      </c>
      <c r="B8" t="str">
        <f>VLOOKUP(A8,'model groups'!$A$3:$C$86,2,FALSE)</f>
        <v>large demersal sharks</v>
      </c>
      <c r="C8" t="s">
        <v>71</v>
      </c>
      <c r="D8" t="s">
        <v>72</v>
      </c>
      <c r="E8" t="s">
        <v>72</v>
      </c>
      <c r="G8" t="s">
        <v>45</v>
      </c>
      <c r="H8" t="s">
        <v>71</v>
      </c>
      <c r="I8" t="s">
        <v>71</v>
      </c>
      <c r="J8" t="s">
        <v>71</v>
      </c>
      <c r="K8" t="s">
        <v>73</v>
      </c>
      <c r="L8" t="s">
        <v>71</v>
      </c>
      <c r="M8" t="s">
        <v>71</v>
      </c>
      <c r="N8" t="s">
        <v>71</v>
      </c>
      <c r="O8" t="s">
        <v>71</v>
      </c>
      <c r="P8" t="s">
        <v>71</v>
      </c>
      <c r="Q8" t="s">
        <v>71</v>
      </c>
      <c r="R8" t="s">
        <v>71</v>
      </c>
      <c r="S8" t="s">
        <v>71</v>
      </c>
      <c r="U8" t="s">
        <v>71</v>
      </c>
      <c r="V8" t="s">
        <v>71</v>
      </c>
      <c r="W8" t="s">
        <v>71</v>
      </c>
      <c r="X8" t="s">
        <v>71</v>
      </c>
      <c r="Y8" t="s">
        <v>71</v>
      </c>
      <c r="Z8" t="s">
        <v>71</v>
      </c>
      <c r="AA8" t="s">
        <v>71</v>
      </c>
      <c r="AB8" t="s">
        <v>71</v>
      </c>
      <c r="AC8" t="s">
        <v>71</v>
      </c>
      <c r="AD8" t="s">
        <v>71</v>
      </c>
      <c r="AE8" t="s">
        <v>71</v>
      </c>
      <c r="AF8" t="s">
        <v>71</v>
      </c>
      <c r="AG8">
        <v>0</v>
      </c>
      <c r="AH8">
        <v>0</v>
      </c>
      <c r="AI8">
        <v>0</v>
      </c>
      <c r="AJ8">
        <v>0</v>
      </c>
      <c r="AK8">
        <v>0</v>
      </c>
      <c r="AL8">
        <v>0</v>
      </c>
      <c r="AM8">
        <v>0</v>
      </c>
      <c r="AN8">
        <v>0</v>
      </c>
      <c r="AO8">
        <v>0</v>
      </c>
      <c r="AP8">
        <v>0</v>
      </c>
      <c r="AQ8">
        <v>1</v>
      </c>
      <c r="AR8">
        <v>1</v>
      </c>
      <c r="AS8" t="s">
        <v>2594</v>
      </c>
      <c r="AU8" s="16"/>
      <c r="AV8" s="16"/>
    </row>
    <row r="9" spans="1:48" x14ac:dyDescent="0.25">
      <c r="A9">
        <v>5</v>
      </c>
      <c r="B9" t="str">
        <f>VLOOKUP(A9,'model groups'!$A$3:$C$86,2,FALSE)</f>
        <v>large demersal sharks</v>
      </c>
      <c r="C9" t="s">
        <v>74</v>
      </c>
      <c r="D9" t="s">
        <v>75</v>
      </c>
      <c r="E9" t="s">
        <v>75</v>
      </c>
      <c r="G9" t="s">
        <v>45</v>
      </c>
      <c r="H9" t="s">
        <v>46</v>
      </c>
      <c r="I9" t="s">
        <v>47</v>
      </c>
      <c r="J9" t="s">
        <v>48</v>
      </c>
      <c r="K9" t="s">
        <v>76</v>
      </c>
      <c r="L9">
        <v>0.733462846</v>
      </c>
      <c r="M9">
        <v>3.6548582459999999</v>
      </c>
      <c r="N9">
        <v>103.6</v>
      </c>
      <c r="O9">
        <v>4.3233333329999999</v>
      </c>
      <c r="P9">
        <v>69.760000000000005</v>
      </c>
      <c r="Q9">
        <v>1.8274900000000001</v>
      </c>
      <c r="R9" t="s">
        <v>70</v>
      </c>
      <c r="S9" t="s">
        <v>77</v>
      </c>
      <c r="T9" t="str">
        <f t="shared" ref="T9:T15" si="1">IF(OR(AK9=1,AN9=1),"reef","no")</f>
        <v>no</v>
      </c>
      <c r="U9" s="1">
        <v>0.98199999874395993</v>
      </c>
      <c r="V9" s="1">
        <v>1.2000000837360024E-2</v>
      </c>
      <c r="W9" s="1">
        <v>0</v>
      </c>
      <c r="X9" s="1">
        <v>0</v>
      </c>
      <c r="Y9" s="1">
        <v>0</v>
      </c>
      <c r="Z9" s="1">
        <v>0</v>
      </c>
      <c r="AA9" s="1">
        <v>6.0000004186800118E-3</v>
      </c>
      <c r="AB9" s="1">
        <v>0</v>
      </c>
      <c r="AC9">
        <v>0</v>
      </c>
      <c r="AD9">
        <v>0</v>
      </c>
      <c r="AE9">
        <v>0</v>
      </c>
      <c r="AF9">
        <v>0</v>
      </c>
      <c r="AG9">
        <v>0</v>
      </c>
      <c r="AH9">
        <v>1</v>
      </c>
      <c r="AI9">
        <v>0</v>
      </c>
      <c r="AJ9">
        <v>1</v>
      </c>
      <c r="AK9">
        <v>0</v>
      </c>
      <c r="AL9">
        <v>0</v>
      </c>
      <c r="AM9">
        <v>1</v>
      </c>
      <c r="AN9">
        <v>0</v>
      </c>
      <c r="AO9">
        <v>0</v>
      </c>
      <c r="AP9">
        <v>0</v>
      </c>
      <c r="AQ9">
        <v>1</v>
      </c>
      <c r="AR9">
        <v>1</v>
      </c>
      <c r="AS9" t="s">
        <v>2594</v>
      </c>
      <c r="AU9" s="16"/>
      <c r="AV9" s="16"/>
    </row>
    <row r="10" spans="1:48" x14ac:dyDescent="0.25">
      <c r="A10">
        <v>5</v>
      </c>
      <c r="B10" t="str">
        <f>VLOOKUP(A10,'model groups'!$A$3:$C$86,2,FALSE)</f>
        <v>large demersal sharks</v>
      </c>
      <c r="C10" t="s">
        <v>78</v>
      </c>
      <c r="D10" t="s">
        <v>79</v>
      </c>
      <c r="E10" t="s">
        <v>79</v>
      </c>
      <c r="G10" t="s">
        <v>45</v>
      </c>
      <c r="H10" t="s">
        <v>46</v>
      </c>
      <c r="I10" t="s">
        <v>47</v>
      </c>
      <c r="J10" t="s">
        <v>48</v>
      </c>
      <c r="K10" t="s">
        <v>80</v>
      </c>
      <c r="L10">
        <v>0.34652700600000003</v>
      </c>
      <c r="M10">
        <v>6.3195720355000002</v>
      </c>
      <c r="N10">
        <v>214</v>
      </c>
      <c r="O10">
        <v>4.28</v>
      </c>
      <c r="P10">
        <v>62.25</v>
      </c>
      <c r="Q10">
        <v>5.8793899999999999</v>
      </c>
      <c r="R10" t="s">
        <v>70</v>
      </c>
      <c r="S10" t="s">
        <v>77</v>
      </c>
      <c r="T10" t="str">
        <f t="shared" si="1"/>
        <v>no</v>
      </c>
      <c r="U10" s="1">
        <v>0.91099999777285001</v>
      </c>
      <c r="V10" s="1">
        <v>2.0000000287000004E-2</v>
      </c>
      <c r="W10" s="1">
        <v>0</v>
      </c>
      <c r="X10" s="1">
        <v>1.0000000143500002E-2</v>
      </c>
      <c r="Y10" s="1">
        <v>5.9000001796650027E-2</v>
      </c>
      <c r="Z10" s="1">
        <v>0</v>
      </c>
      <c r="AA10" s="1">
        <v>0</v>
      </c>
      <c r="AB10" s="1">
        <v>0</v>
      </c>
      <c r="AC10">
        <v>0</v>
      </c>
      <c r="AD10">
        <v>0</v>
      </c>
      <c r="AE10">
        <v>0</v>
      </c>
      <c r="AF10">
        <v>0</v>
      </c>
      <c r="AG10">
        <v>0</v>
      </c>
      <c r="AH10">
        <v>1</v>
      </c>
      <c r="AI10">
        <v>0</v>
      </c>
      <c r="AJ10">
        <v>1</v>
      </c>
      <c r="AK10">
        <v>0</v>
      </c>
      <c r="AL10">
        <v>0</v>
      </c>
      <c r="AM10">
        <v>0</v>
      </c>
      <c r="AN10">
        <v>0</v>
      </c>
      <c r="AO10">
        <v>0</v>
      </c>
      <c r="AP10">
        <v>0</v>
      </c>
      <c r="AQ10">
        <v>1</v>
      </c>
      <c r="AR10">
        <v>1</v>
      </c>
      <c r="AS10" t="s">
        <v>2594</v>
      </c>
      <c r="AU10" s="16"/>
      <c r="AV10" s="16"/>
    </row>
    <row r="11" spans="1:48" x14ac:dyDescent="0.25">
      <c r="A11">
        <v>5</v>
      </c>
      <c r="B11" t="str">
        <f>VLOOKUP(A11,'model groups'!$A$3:$C$86,2,FALSE)</f>
        <v>large demersal sharks</v>
      </c>
      <c r="C11" t="s">
        <v>81</v>
      </c>
      <c r="D11" t="s">
        <v>82</v>
      </c>
      <c r="E11" t="s">
        <v>82</v>
      </c>
      <c r="G11" t="s">
        <v>45</v>
      </c>
      <c r="H11" t="s">
        <v>46</v>
      </c>
      <c r="I11" t="s">
        <v>47</v>
      </c>
      <c r="J11" t="s">
        <v>48</v>
      </c>
      <c r="K11" t="s">
        <v>83</v>
      </c>
      <c r="L11">
        <v>0.25935607900000002</v>
      </c>
      <c r="M11">
        <v>2.0817523710000003</v>
      </c>
      <c r="N11">
        <v>352.87213279999997</v>
      </c>
      <c r="O11">
        <v>4.4766666669999999</v>
      </c>
      <c r="P11">
        <v>79.03</v>
      </c>
      <c r="Q11">
        <v>2.0262899999999999</v>
      </c>
      <c r="R11" t="s">
        <v>70</v>
      </c>
      <c r="S11" t="s">
        <v>77</v>
      </c>
      <c r="T11" t="str">
        <f t="shared" si="1"/>
        <v>no</v>
      </c>
      <c r="U11" s="1">
        <v>0.60700000122965003</v>
      </c>
      <c r="V11" s="1">
        <v>1.7000000139149998E-2</v>
      </c>
      <c r="W11" s="1">
        <v>5.099999802745004E-2</v>
      </c>
      <c r="X11" s="1">
        <v>0</v>
      </c>
      <c r="Y11" s="1">
        <v>0.30950000139452499</v>
      </c>
      <c r="Z11" s="1">
        <v>0</v>
      </c>
      <c r="AA11" s="1">
        <v>1.5499999209225016E-2</v>
      </c>
      <c r="AB11" s="1">
        <v>0</v>
      </c>
      <c r="AC11">
        <v>0</v>
      </c>
      <c r="AD11">
        <v>0</v>
      </c>
      <c r="AE11">
        <v>0</v>
      </c>
      <c r="AF11">
        <v>0</v>
      </c>
      <c r="AG11">
        <v>0</v>
      </c>
      <c r="AH11">
        <v>0</v>
      </c>
      <c r="AI11">
        <v>0</v>
      </c>
      <c r="AJ11">
        <v>1</v>
      </c>
      <c r="AK11">
        <v>0</v>
      </c>
      <c r="AL11">
        <v>0</v>
      </c>
      <c r="AM11">
        <v>0</v>
      </c>
      <c r="AN11">
        <v>0</v>
      </c>
      <c r="AO11">
        <v>0</v>
      </c>
      <c r="AP11">
        <v>0</v>
      </c>
      <c r="AQ11">
        <v>1</v>
      </c>
      <c r="AR11">
        <v>1</v>
      </c>
      <c r="AS11" t="s">
        <v>2594</v>
      </c>
      <c r="AU11" s="16"/>
      <c r="AV11" s="16"/>
    </row>
    <row r="12" spans="1:48" x14ac:dyDescent="0.25">
      <c r="A12">
        <v>5</v>
      </c>
      <c r="B12" t="str">
        <f>VLOOKUP(A12,'model groups'!$A$3:$C$86,2,FALSE)</f>
        <v>large demersal sharks</v>
      </c>
      <c r="C12" t="s">
        <v>84</v>
      </c>
      <c r="D12" t="s">
        <v>85</v>
      </c>
      <c r="E12" t="s">
        <v>85</v>
      </c>
      <c r="G12" t="s">
        <v>45</v>
      </c>
      <c r="H12" t="s">
        <v>46</v>
      </c>
      <c r="I12" t="s">
        <v>47</v>
      </c>
      <c r="J12" t="s">
        <v>48</v>
      </c>
      <c r="K12" t="s">
        <v>86</v>
      </c>
      <c r="L12">
        <v>0.216781434</v>
      </c>
      <c r="M12">
        <v>2.3837993719999999</v>
      </c>
      <c r="N12">
        <v>362.79165690000002</v>
      </c>
      <c r="O12">
        <v>4.2866666670000004</v>
      </c>
      <c r="P12">
        <v>87.54</v>
      </c>
      <c r="Q12">
        <v>1.4435500000000001</v>
      </c>
      <c r="R12" t="s">
        <v>50</v>
      </c>
      <c r="S12" t="s">
        <v>77</v>
      </c>
      <c r="T12" t="str">
        <f t="shared" si="1"/>
        <v>no</v>
      </c>
      <c r="U12" s="1">
        <v>0.92315789624558442</v>
      </c>
      <c r="V12" s="1">
        <v>2.7368419860188373E-2</v>
      </c>
      <c r="W12" s="1">
        <v>0</v>
      </c>
      <c r="X12" s="1">
        <v>4.2105262861828259E-2</v>
      </c>
      <c r="Y12" s="1">
        <v>5.2631578577285324E-3</v>
      </c>
      <c r="Z12" s="1">
        <v>0</v>
      </c>
      <c r="AA12" s="1">
        <v>2.1052631746703602E-3</v>
      </c>
      <c r="AB12" s="1">
        <v>0</v>
      </c>
      <c r="AC12">
        <v>0</v>
      </c>
      <c r="AD12">
        <v>0</v>
      </c>
      <c r="AE12">
        <v>0</v>
      </c>
      <c r="AF12">
        <v>0</v>
      </c>
      <c r="AG12">
        <v>0</v>
      </c>
      <c r="AH12">
        <v>1</v>
      </c>
      <c r="AI12">
        <v>0</v>
      </c>
      <c r="AJ12">
        <v>1</v>
      </c>
      <c r="AK12">
        <v>0</v>
      </c>
      <c r="AL12">
        <v>0</v>
      </c>
      <c r="AM12">
        <v>0</v>
      </c>
      <c r="AN12">
        <v>0</v>
      </c>
      <c r="AO12">
        <v>0</v>
      </c>
      <c r="AP12">
        <v>0</v>
      </c>
      <c r="AQ12">
        <v>1</v>
      </c>
      <c r="AR12">
        <v>1</v>
      </c>
      <c r="AS12" t="s">
        <v>2594</v>
      </c>
      <c r="AU12" s="16"/>
      <c r="AV12" s="16"/>
    </row>
    <row r="13" spans="1:48" x14ac:dyDescent="0.25">
      <c r="A13">
        <v>5</v>
      </c>
      <c r="B13" t="str">
        <f>VLOOKUP(A13,'model groups'!$A$3:$C$86,2,FALSE)</f>
        <v>large demersal sharks</v>
      </c>
      <c r="C13" t="s">
        <v>87</v>
      </c>
      <c r="D13" t="s">
        <v>88</v>
      </c>
      <c r="E13" t="s">
        <v>88</v>
      </c>
      <c r="G13" t="s">
        <v>45</v>
      </c>
      <c r="H13" t="s">
        <v>46</v>
      </c>
      <c r="I13" t="s">
        <v>47</v>
      </c>
      <c r="J13" t="s">
        <v>48</v>
      </c>
      <c r="K13" t="s">
        <v>89</v>
      </c>
      <c r="L13">
        <v>0.43089197000000001</v>
      </c>
      <c r="M13">
        <v>3.5664409065</v>
      </c>
      <c r="N13">
        <v>176</v>
      </c>
      <c r="O13">
        <v>4.3266666669999996</v>
      </c>
      <c r="P13">
        <v>55.45</v>
      </c>
      <c r="Q13">
        <v>2.0004550000000001</v>
      </c>
      <c r="R13" t="s">
        <v>50</v>
      </c>
      <c r="S13" t="s">
        <v>77</v>
      </c>
      <c r="T13" t="str">
        <f t="shared" si="1"/>
        <v>reef</v>
      </c>
      <c r="U13" s="1">
        <v>0.95108421750372873</v>
      </c>
      <c r="V13" s="1">
        <v>1.2607160154886903E-2</v>
      </c>
      <c r="W13" s="1">
        <v>0</v>
      </c>
      <c r="X13" s="1">
        <v>5.0428643443551583E-4</v>
      </c>
      <c r="Y13" s="1">
        <v>3.4291476613728056E-2</v>
      </c>
      <c r="Z13" s="1">
        <v>0</v>
      </c>
      <c r="AA13" s="1">
        <v>1.5128592932208192E-3</v>
      </c>
      <c r="AB13" s="1">
        <v>0</v>
      </c>
      <c r="AC13">
        <v>0</v>
      </c>
      <c r="AD13">
        <v>0</v>
      </c>
      <c r="AE13">
        <v>0</v>
      </c>
      <c r="AF13">
        <v>0</v>
      </c>
      <c r="AG13">
        <v>0</v>
      </c>
      <c r="AH13">
        <v>1</v>
      </c>
      <c r="AI13">
        <v>0</v>
      </c>
      <c r="AJ13">
        <v>1</v>
      </c>
      <c r="AK13">
        <v>0</v>
      </c>
      <c r="AL13">
        <v>0</v>
      </c>
      <c r="AM13">
        <v>0</v>
      </c>
      <c r="AN13">
        <v>1</v>
      </c>
      <c r="AO13">
        <v>0</v>
      </c>
      <c r="AP13">
        <v>0</v>
      </c>
      <c r="AQ13">
        <v>1</v>
      </c>
      <c r="AR13">
        <v>1</v>
      </c>
      <c r="AS13" t="s">
        <v>2594</v>
      </c>
      <c r="AU13" s="16"/>
      <c r="AV13" s="16"/>
    </row>
    <row r="14" spans="1:48" x14ac:dyDescent="0.25">
      <c r="A14">
        <v>5</v>
      </c>
      <c r="B14" t="str">
        <f>VLOOKUP(A14,'model groups'!$A$3:$C$86,2,FALSE)</f>
        <v>large demersal sharks</v>
      </c>
      <c r="D14" t="s">
        <v>90</v>
      </c>
      <c r="E14" t="s">
        <v>90</v>
      </c>
      <c r="G14" t="s">
        <v>45</v>
      </c>
      <c r="H14" t="s">
        <v>46</v>
      </c>
      <c r="I14" t="s">
        <v>47</v>
      </c>
      <c r="J14" t="s">
        <v>48</v>
      </c>
      <c r="T14" t="str">
        <f t="shared" si="1"/>
        <v>no</v>
      </c>
      <c r="U14" s="1"/>
      <c r="V14" s="1"/>
      <c r="W14" s="1"/>
      <c r="X14" s="1"/>
      <c r="Y14" s="1"/>
      <c r="Z14" s="1"/>
      <c r="AA14" s="1"/>
      <c r="AB14" s="1"/>
      <c r="AG14">
        <v>0</v>
      </c>
      <c r="AH14">
        <v>0</v>
      </c>
      <c r="AI14">
        <v>0</v>
      </c>
      <c r="AJ14">
        <v>0</v>
      </c>
      <c r="AK14">
        <v>0</v>
      </c>
      <c r="AL14">
        <v>0</v>
      </c>
      <c r="AM14">
        <v>0</v>
      </c>
      <c r="AN14">
        <v>0</v>
      </c>
      <c r="AO14">
        <v>1</v>
      </c>
      <c r="AP14">
        <v>0</v>
      </c>
      <c r="AQ14">
        <v>0</v>
      </c>
      <c r="AR14">
        <v>1</v>
      </c>
      <c r="AS14" t="s">
        <v>2594</v>
      </c>
      <c r="AU14" s="16"/>
      <c r="AV14" s="16"/>
    </row>
    <row r="15" spans="1:48" x14ac:dyDescent="0.25">
      <c r="A15">
        <v>5</v>
      </c>
      <c r="B15" t="str">
        <f>VLOOKUP(A15,'model groups'!$A$3:$C$86,2,FALSE)</f>
        <v>large demersal sharks</v>
      </c>
      <c r="D15" t="s">
        <v>90</v>
      </c>
      <c r="E15" t="s">
        <v>91</v>
      </c>
      <c r="G15" t="s">
        <v>45</v>
      </c>
      <c r="H15" t="s">
        <v>46</v>
      </c>
      <c r="I15" t="s">
        <v>47</v>
      </c>
      <c r="J15" t="s">
        <v>48</v>
      </c>
      <c r="T15" t="str">
        <f t="shared" si="1"/>
        <v>reef</v>
      </c>
      <c r="U15" s="1"/>
      <c r="V15" s="1"/>
      <c r="W15" s="1"/>
      <c r="X15" s="1"/>
      <c r="Y15" s="1"/>
      <c r="Z15" s="1"/>
      <c r="AA15" s="1"/>
      <c r="AB15" s="1"/>
      <c r="AG15">
        <v>0</v>
      </c>
      <c r="AH15">
        <v>0</v>
      </c>
      <c r="AI15">
        <v>0</v>
      </c>
      <c r="AJ15">
        <v>0</v>
      </c>
      <c r="AK15">
        <v>0</v>
      </c>
      <c r="AL15">
        <v>0</v>
      </c>
      <c r="AM15">
        <v>0</v>
      </c>
      <c r="AN15">
        <v>1</v>
      </c>
      <c r="AO15">
        <v>0</v>
      </c>
      <c r="AP15">
        <v>0</v>
      </c>
      <c r="AQ15">
        <v>0</v>
      </c>
      <c r="AR15">
        <v>1</v>
      </c>
      <c r="AS15" t="s">
        <v>2594</v>
      </c>
      <c r="AU15" s="16"/>
      <c r="AV15" s="16"/>
    </row>
    <row r="16" spans="1:48" x14ac:dyDescent="0.25">
      <c r="A16">
        <v>5</v>
      </c>
      <c r="B16" t="str">
        <f>VLOOKUP(A16,'model groups'!$A$3:$C$86,2,FALSE)</f>
        <v>large demersal sharks</v>
      </c>
      <c r="D16" t="s">
        <v>93</v>
      </c>
      <c r="E16" t="s">
        <v>93</v>
      </c>
      <c r="G16" t="s">
        <v>45</v>
      </c>
      <c r="H16" t="s">
        <v>46</v>
      </c>
      <c r="I16" t="s">
        <v>47</v>
      </c>
      <c r="J16" t="s">
        <v>94</v>
      </c>
      <c r="K16" t="s">
        <v>95</v>
      </c>
      <c r="AR16">
        <v>1</v>
      </c>
      <c r="AS16" t="s">
        <v>2594</v>
      </c>
      <c r="AU16" s="16"/>
      <c r="AV16" s="16"/>
    </row>
    <row r="17" spans="1:48" x14ac:dyDescent="0.25">
      <c r="A17">
        <v>5</v>
      </c>
      <c r="B17" t="str">
        <f>VLOOKUP(A17,'model groups'!$A$3:$C$86,2,FALSE)</f>
        <v>large demersal sharks</v>
      </c>
      <c r="D17" t="s">
        <v>96</v>
      </c>
      <c r="E17" t="s">
        <v>96</v>
      </c>
      <c r="G17" t="s">
        <v>45</v>
      </c>
      <c r="H17" t="s">
        <v>46</v>
      </c>
      <c r="I17" t="s">
        <v>47</v>
      </c>
      <c r="T17" t="str">
        <f>IF(OR(AK17=1,AN17=1),"reef","no")</f>
        <v>no</v>
      </c>
      <c r="U17" s="1"/>
      <c r="V17" s="1"/>
      <c r="W17" s="1"/>
      <c r="X17" s="1"/>
      <c r="Y17" s="1"/>
      <c r="Z17" s="1"/>
      <c r="AA17" s="1"/>
      <c r="AB17" s="1"/>
      <c r="AG17">
        <v>0</v>
      </c>
      <c r="AH17">
        <v>0</v>
      </c>
      <c r="AI17">
        <v>0</v>
      </c>
      <c r="AJ17">
        <v>0</v>
      </c>
      <c r="AK17">
        <v>0</v>
      </c>
      <c r="AL17">
        <v>0</v>
      </c>
      <c r="AM17">
        <v>0</v>
      </c>
      <c r="AN17">
        <v>0</v>
      </c>
      <c r="AO17">
        <v>1</v>
      </c>
      <c r="AP17">
        <v>0</v>
      </c>
      <c r="AQ17">
        <v>0</v>
      </c>
      <c r="AR17">
        <v>1</v>
      </c>
      <c r="AS17" t="s">
        <v>2594</v>
      </c>
      <c r="AU17" s="16"/>
      <c r="AV17" s="16"/>
    </row>
    <row r="18" spans="1:48" x14ac:dyDescent="0.25">
      <c r="A18">
        <v>5</v>
      </c>
      <c r="B18" t="str">
        <f>VLOOKUP(A18,'model groups'!$A$3:$C$86,2,FALSE)</f>
        <v>large demersal sharks</v>
      </c>
      <c r="C18" t="s">
        <v>97</v>
      </c>
      <c r="D18" t="s">
        <v>98</v>
      </c>
      <c r="E18" t="s">
        <v>98</v>
      </c>
      <c r="G18" t="s">
        <v>45</v>
      </c>
      <c r="H18" t="s">
        <v>99</v>
      </c>
      <c r="I18" t="s">
        <v>100</v>
      </c>
      <c r="J18" t="s">
        <v>101</v>
      </c>
      <c r="K18" t="s">
        <v>102</v>
      </c>
      <c r="L18">
        <v>0.14401438</v>
      </c>
      <c r="N18">
        <v>432.11198009999998</v>
      </c>
      <c r="O18">
        <v>4.0733333329999999</v>
      </c>
      <c r="P18">
        <v>81.38</v>
      </c>
      <c r="R18" t="s">
        <v>50</v>
      </c>
      <c r="S18" t="s">
        <v>77</v>
      </c>
      <c r="T18" t="str">
        <f>IF(OR(AK18=1,AN18=1),"reef","no")</f>
        <v>no</v>
      </c>
      <c r="U18" s="1">
        <v>0.38000000243199999</v>
      </c>
      <c r="V18" s="1">
        <v>0.18533332938613328</v>
      </c>
      <c r="W18" s="1">
        <v>0</v>
      </c>
      <c r="X18" s="1">
        <v>0</v>
      </c>
      <c r="Y18" s="1">
        <v>0.1379999995832</v>
      </c>
      <c r="Z18" s="1">
        <v>0</v>
      </c>
      <c r="AA18" s="1">
        <v>0.29666666859866669</v>
      </c>
      <c r="AB18" s="1">
        <v>0</v>
      </c>
      <c r="AC18">
        <v>1</v>
      </c>
      <c r="AD18">
        <v>0</v>
      </c>
      <c r="AE18">
        <v>0</v>
      </c>
      <c r="AF18">
        <v>1</v>
      </c>
      <c r="AG18">
        <v>0</v>
      </c>
      <c r="AH18">
        <v>1</v>
      </c>
      <c r="AI18">
        <v>0</v>
      </c>
      <c r="AJ18">
        <v>1</v>
      </c>
      <c r="AK18">
        <v>0</v>
      </c>
      <c r="AL18">
        <v>0</v>
      </c>
      <c r="AM18">
        <v>0</v>
      </c>
      <c r="AN18">
        <v>0</v>
      </c>
      <c r="AO18">
        <v>0</v>
      </c>
      <c r="AP18">
        <v>0</v>
      </c>
      <c r="AQ18">
        <v>0</v>
      </c>
      <c r="AR18">
        <v>1</v>
      </c>
      <c r="AS18" t="s">
        <v>2594</v>
      </c>
      <c r="AU18" s="16"/>
      <c r="AV18" s="16"/>
    </row>
    <row r="19" spans="1:48" x14ac:dyDescent="0.25">
      <c r="A19">
        <v>6</v>
      </c>
      <c r="B19" t="str">
        <f>VLOOKUP(A19,'model groups'!$A$3:$C$86,2,FALSE)</f>
        <v>small sharks and rays</v>
      </c>
      <c r="C19" t="s">
        <v>71</v>
      </c>
      <c r="D19" t="s">
        <v>103</v>
      </c>
      <c r="E19" t="s">
        <v>103</v>
      </c>
      <c r="G19" t="s">
        <v>45</v>
      </c>
      <c r="H19" t="s">
        <v>104</v>
      </c>
      <c r="I19" t="s">
        <v>71</v>
      </c>
      <c r="J19" t="s">
        <v>71</v>
      </c>
      <c r="K19" t="s">
        <v>105</v>
      </c>
      <c r="L19" t="s">
        <v>71</v>
      </c>
      <c r="M19" t="s">
        <v>71</v>
      </c>
      <c r="N19" t="s">
        <v>71</v>
      </c>
      <c r="O19" t="s">
        <v>71</v>
      </c>
      <c r="P19" t="s">
        <v>71</v>
      </c>
      <c r="Q19" t="s">
        <v>71</v>
      </c>
      <c r="R19" t="s">
        <v>71</v>
      </c>
      <c r="S19" t="s">
        <v>71</v>
      </c>
      <c r="U19" t="s">
        <v>71</v>
      </c>
      <c r="V19" t="s">
        <v>71</v>
      </c>
      <c r="W19" t="s">
        <v>71</v>
      </c>
      <c r="X19" t="s">
        <v>71</v>
      </c>
      <c r="Y19" t="s">
        <v>71</v>
      </c>
      <c r="Z19" t="s">
        <v>71</v>
      </c>
      <c r="AA19" t="s">
        <v>71</v>
      </c>
      <c r="AB19" t="s">
        <v>71</v>
      </c>
      <c r="AC19" t="s">
        <v>71</v>
      </c>
      <c r="AD19" t="s">
        <v>71</v>
      </c>
      <c r="AE19" t="s">
        <v>71</v>
      </c>
      <c r="AF19" t="s">
        <v>71</v>
      </c>
      <c r="AG19">
        <v>0</v>
      </c>
      <c r="AH19">
        <v>0</v>
      </c>
      <c r="AI19">
        <v>0</v>
      </c>
      <c r="AJ19">
        <v>0</v>
      </c>
      <c r="AK19">
        <v>0</v>
      </c>
      <c r="AL19">
        <v>0</v>
      </c>
      <c r="AM19">
        <v>0</v>
      </c>
      <c r="AN19">
        <v>0</v>
      </c>
      <c r="AO19">
        <v>0</v>
      </c>
      <c r="AP19">
        <v>0</v>
      </c>
      <c r="AQ19">
        <v>1</v>
      </c>
      <c r="AR19">
        <v>0</v>
      </c>
      <c r="AS19" t="s">
        <v>2600</v>
      </c>
      <c r="AU19" s="16"/>
      <c r="AV19" s="16"/>
    </row>
    <row r="20" spans="1:48" x14ac:dyDescent="0.25">
      <c r="A20">
        <v>6</v>
      </c>
      <c r="B20" t="str">
        <f>VLOOKUP(A20,'model groups'!$A$3:$C$86,2,FALSE)</f>
        <v>small sharks and rays</v>
      </c>
      <c r="C20" t="s">
        <v>106</v>
      </c>
      <c r="D20" t="s">
        <v>107</v>
      </c>
      <c r="E20" t="s">
        <v>107</v>
      </c>
      <c r="G20" t="s">
        <v>45</v>
      </c>
      <c r="H20" t="s">
        <v>46</v>
      </c>
      <c r="I20" t="s">
        <v>47</v>
      </c>
      <c r="J20" t="s">
        <v>48</v>
      </c>
      <c r="K20" t="s">
        <v>108</v>
      </c>
      <c r="L20">
        <v>0.55900621100000003</v>
      </c>
      <c r="M20">
        <v>3.0532242615</v>
      </c>
      <c r="N20">
        <v>193.42892520000001</v>
      </c>
      <c r="O20">
        <v>4.25</v>
      </c>
      <c r="P20">
        <v>60.19</v>
      </c>
      <c r="Q20">
        <v>2.5648900000000001</v>
      </c>
      <c r="R20" t="s">
        <v>70</v>
      </c>
      <c r="S20" t="s">
        <v>109</v>
      </c>
      <c r="T20" t="str">
        <f>IF(OR(AK20=1,AN20=1),"reef","no")</f>
        <v>no</v>
      </c>
      <c r="U20" s="1">
        <v>0.95900000153834997</v>
      </c>
      <c r="V20" s="1">
        <v>0</v>
      </c>
      <c r="W20" s="1">
        <v>0</v>
      </c>
      <c r="X20" s="1">
        <v>0</v>
      </c>
      <c r="Y20" s="1">
        <v>0</v>
      </c>
      <c r="Z20" s="1">
        <v>0</v>
      </c>
      <c r="AA20" s="1">
        <v>4.099999846165002E-2</v>
      </c>
      <c r="AB20" s="1">
        <v>0</v>
      </c>
      <c r="AC20">
        <v>0</v>
      </c>
      <c r="AD20">
        <v>0</v>
      </c>
      <c r="AE20">
        <v>0</v>
      </c>
      <c r="AF20">
        <v>0</v>
      </c>
      <c r="AG20">
        <v>0</v>
      </c>
      <c r="AH20">
        <v>1</v>
      </c>
      <c r="AI20">
        <v>0</v>
      </c>
      <c r="AJ20">
        <v>0</v>
      </c>
      <c r="AK20">
        <v>0</v>
      </c>
      <c r="AL20">
        <v>0</v>
      </c>
      <c r="AM20">
        <v>0</v>
      </c>
      <c r="AN20">
        <v>0</v>
      </c>
      <c r="AO20">
        <v>0</v>
      </c>
      <c r="AP20">
        <v>0</v>
      </c>
      <c r="AQ20">
        <v>1</v>
      </c>
      <c r="AR20">
        <v>0</v>
      </c>
      <c r="AS20" t="s">
        <v>2600</v>
      </c>
      <c r="AU20" s="16"/>
      <c r="AV20" s="16"/>
    </row>
    <row r="21" spans="1:48" x14ac:dyDescent="0.25">
      <c r="A21">
        <v>6</v>
      </c>
      <c r="B21" t="str">
        <f>VLOOKUP(A21,'model groups'!$A$3:$C$86,2,FALSE)</f>
        <v>small sharks and rays</v>
      </c>
      <c r="C21" t="s">
        <v>110</v>
      </c>
      <c r="D21" t="s">
        <v>111</v>
      </c>
      <c r="E21" t="s">
        <v>111</v>
      </c>
      <c r="G21" t="s">
        <v>45</v>
      </c>
      <c r="H21" t="s">
        <v>46</v>
      </c>
      <c r="I21" t="s">
        <v>47</v>
      </c>
      <c r="J21" t="s">
        <v>112</v>
      </c>
      <c r="K21" t="s">
        <v>113</v>
      </c>
      <c r="L21">
        <v>0.55921966599999995</v>
      </c>
      <c r="M21">
        <v>4.5484854000000006</v>
      </c>
      <c r="N21">
        <v>112.962564</v>
      </c>
      <c r="O21">
        <v>4.3033333330000003</v>
      </c>
      <c r="P21">
        <v>45.96</v>
      </c>
      <c r="Q21">
        <v>1.5508299999999999</v>
      </c>
      <c r="R21" t="s">
        <v>50</v>
      </c>
      <c r="S21" t="s">
        <v>109</v>
      </c>
      <c r="T21" t="str">
        <f>IF(OR(AK21=1,AN21=1),"reef","no")</f>
        <v>no</v>
      </c>
      <c r="U21" s="1">
        <v>0.76499999854650003</v>
      </c>
      <c r="V21" s="1">
        <v>0.1620000013922</v>
      </c>
      <c r="W21" s="1">
        <v>2.70000000687E-2</v>
      </c>
      <c r="X21" s="1">
        <v>0</v>
      </c>
      <c r="Y21" s="1">
        <v>1.7000000337699998E-2</v>
      </c>
      <c r="Z21" s="1">
        <v>0</v>
      </c>
      <c r="AA21" s="1">
        <v>2.8999999654900004E-2</v>
      </c>
      <c r="AB21" s="1">
        <v>0</v>
      </c>
      <c r="AC21">
        <v>0</v>
      </c>
      <c r="AD21">
        <v>0</v>
      </c>
      <c r="AE21">
        <v>0</v>
      </c>
      <c r="AF21">
        <v>0</v>
      </c>
      <c r="AG21">
        <v>0</v>
      </c>
      <c r="AH21">
        <v>1</v>
      </c>
      <c r="AI21">
        <v>1</v>
      </c>
      <c r="AJ21">
        <v>1</v>
      </c>
      <c r="AK21">
        <v>0</v>
      </c>
      <c r="AL21">
        <v>0</v>
      </c>
      <c r="AM21">
        <v>1</v>
      </c>
      <c r="AN21">
        <v>0</v>
      </c>
      <c r="AO21">
        <v>0</v>
      </c>
      <c r="AP21">
        <v>0</v>
      </c>
      <c r="AQ21">
        <v>1</v>
      </c>
      <c r="AR21">
        <v>0</v>
      </c>
      <c r="AS21" t="s">
        <v>2600</v>
      </c>
      <c r="AU21" s="16"/>
      <c r="AV21" s="16"/>
    </row>
    <row r="22" spans="1:48" x14ac:dyDescent="0.25">
      <c r="A22">
        <v>6</v>
      </c>
      <c r="B22" t="str">
        <f>VLOOKUP(A22,'model groups'!$A$3:$C$86,2,FALSE)</f>
        <v>small sharks and rays</v>
      </c>
      <c r="D22" t="s">
        <v>114</v>
      </c>
      <c r="E22" t="s">
        <v>114</v>
      </c>
      <c r="G22" t="s">
        <v>45</v>
      </c>
      <c r="H22" t="s">
        <v>115</v>
      </c>
      <c r="I22" t="s">
        <v>116</v>
      </c>
      <c r="J22" t="s">
        <v>117</v>
      </c>
      <c r="K22" t="s">
        <v>118</v>
      </c>
      <c r="AR22">
        <v>0</v>
      </c>
      <c r="AS22" t="s">
        <v>2600</v>
      </c>
      <c r="AU22" s="16"/>
      <c r="AV22" s="16"/>
    </row>
    <row r="23" spans="1:48" x14ac:dyDescent="0.25">
      <c r="A23">
        <v>6</v>
      </c>
      <c r="B23" t="str">
        <f>VLOOKUP(A23,'model groups'!$A$3:$C$86,2,FALSE)</f>
        <v>small sharks and rays</v>
      </c>
      <c r="C23" t="s">
        <v>119</v>
      </c>
      <c r="D23" t="s">
        <v>120</v>
      </c>
      <c r="E23" t="s">
        <v>120</v>
      </c>
      <c r="G23" t="s">
        <v>45</v>
      </c>
      <c r="H23" t="s">
        <v>115</v>
      </c>
      <c r="I23" t="s">
        <v>116</v>
      </c>
      <c r="J23" t="s">
        <v>121</v>
      </c>
      <c r="K23" t="s">
        <v>122</v>
      </c>
      <c r="L23">
        <v>0.16170357099999999</v>
      </c>
      <c r="N23">
        <v>203.44340629999999</v>
      </c>
      <c r="O23">
        <v>3.57</v>
      </c>
      <c r="P23">
        <v>76.83</v>
      </c>
      <c r="R23" t="s">
        <v>50</v>
      </c>
      <c r="S23" t="s">
        <v>77</v>
      </c>
      <c r="T23" t="str">
        <f>IF(OR(AK23=1,AN23=1),"reef","no")</f>
        <v>reef</v>
      </c>
      <c r="U23" s="1">
        <v>0.12719681687328629</v>
      </c>
      <c r="V23" s="1">
        <v>0.62235944199747295</v>
      </c>
      <c r="W23" s="1">
        <v>4.9548760830163512E-2</v>
      </c>
      <c r="X23" s="1">
        <v>9.9997501686442257E-4</v>
      </c>
      <c r="Y23" s="1">
        <v>0</v>
      </c>
      <c r="Z23" s="1">
        <v>0</v>
      </c>
      <c r="AA23" s="1">
        <v>0.19989500528221277</v>
      </c>
      <c r="AB23" s="1">
        <v>0</v>
      </c>
      <c r="AC23">
        <v>1</v>
      </c>
      <c r="AD23">
        <v>0</v>
      </c>
      <c r="AE23">
        <v>1</v>
      </c>
      <c r="AF23">
        <v>0</v>
      </c>
      <c r="AG23">
        <v>0</v>
      </c>
      <c r="AH23">
        <v>1</v>
      </c>
      <c r="AI23">
        <v>0</v>
      </c>
      <c r="AJ23">
        <v>0</v>
      </c>
      <c r="AK23">
        <v>0</v>
      </c>
      <c r="AL23">
        <v>0</v>
      </c>
      <c r="AM23">
        <v>1</v>
      </c>
      <c r="AN23">
        <v>1</v>
      </c>
      <c r="AO23">
        <v>0</v>
      </c>
      <c r="AP23">
        <v>0</v>
      </c>
      <c r="AQ23">
        <v>0</v>
      </c>
      <c r="AR23">
        <v>0</v>
      </c>
      <c r="AS23" t="s">
        <v>2600</v>
      </c>
      <c r="AU23" s="16"/>
      <c r="AV23" s="16"/>
    </row>
    <row r="24" spans="1:48" x14ac:dyDescent="0.25">
      <c r="A24">
        <v>6</v>
      </c>
      <c r="B24" t="str">
        <f>VLOOKUP(A24,'model groups'!$A$3:$C$86,2,FALSE)</f>
        <v>small sharks and rays</v>
      </c>
      <c r="C24" t="s">
        <v>123</v>
      </c>
      <c r="D24" t="s">
        <v>124</v>
      </c>
      <c r="E24" t="s">
        <v>124</v>
      </c>
      <c r="G24" t="s">
        <v>45</v>
      </c>
      <c r="H24" t="s">
        <v>115</v>
      </c>
      <c r="I24" t="s">
        <v>116</v>
      </c>
      <c r="J24" t="s">
        <v>121</v>
      </c>
      <c r="K24" t="s">
        <v>125</v>
      </c>
      <c r="L24">
        <v>0.19344940199999999</v>
      </c>
      <c r="N24">
        <v>303.20407010000002</v>
      </c>
      <c r="O24">
        <v>3.7933333330000001</v>
      </c>
      <c r="P24">
        <v>80.94</v>
      </c>
      <c r="R24" t="s">
        <v>50</v>
      </c>
      <c r="S24" t="s">
        <v>109</v>
      </c>
      <c r="T24" t="str">
        <f>IF(OR(AK24=1,AN24=1),"reef","no")</f>
        <v>no</v>
      </c>
      <c r="U24" s="1">
        <v>0.31100000555509022</v>
      </c>
      <c r="V24" s="1">
        <v>0.68799999439871984</v>
      </c>
      <c r="W24" s="1">
        <v>1.0000000461900019E-3</v>
      </c>
      <c r="X24" s="1">
        <v>0</v>
      </c>
      <c r="Y24" s="1">
        <v>0</v>
      </c>
      <c r="Z24" s="1">
        <v>0</v>
      </c>
      <c r="AA24" s="1">
        <v>0</v>
      </c>
      <c r="AB24" s="1">
        <v>0</v>
      </c>
      <c r="AC24">
        <v>0</v>
      </c>
      <c r="AD24">
        <v>0</v>
      </c>
      <c r="AE24">
        <v>0</v>
      </c>
      <c r="AF24">
        <v>0</v>
      </c>
      <c r="AG24">
        <v>0</v>
      </c>
      <c r="AH24">
        <v>0</v>
      </c>
      <c r="AI24">
        <v>0</v>
      </c>
      <c r="AJ24">
        <v>0</v>
      </c>
      <c r="AK24">
        <v>0</v>
      </c>
      <c r="AL24">
        <v>0</v>
      </c>
      <c r="AM24">
        <v>1</v>
      </c>
      <c r="AN24">
        <v>0</v>
      </c>
      <c r="AO24">
        <v>0</v>
      </c>
      <c r="AP24">
        <v>0</v>
      </c>
      <c r="AQ24">
        <v>0</v>
      </c>
      <c r="AR24">
        <v>0</v>
      </c>
      <c r="AS24" t="s">
        <v>2600</v>
      </c>
      <c r="AU24" s="16"/>
      <c r="AV24" s="16"/>
    </row>
    <row r="25" spans="1:48" x14ac:dyDescent="0.25">
      <c r="A25">
        <v>6</v>
      </c>
      <c r="B25" t="str">
        <f>VLOOKUP(A25,'model groups'!$A$3:$C$86,2,FALSE)</f>
        <v>small sharks and rays</v>
      </c>
      <c r="C25" t="s">
        <v>126</v>
      </c>
      <c r="D25" t="s">
        <v>127</v>
      </c>
      <c r="E25" t="s">
        <v>127</v>
      </c>
      <c r="G25" t="s">
        <v>45</v>
      </c>
      <c r="H25" t="s">
        <v>115</v>
      </c>
      <c r="I25" t="s">
        <v>116</v>
      </c>
      <c r="J25" t="s">
        <v>121</v>
      </c>
      <c r="K25" t="s">
        <v>128</v>
      </c>
      <c r="L25">
        <v>0.48826281700000002</v>
      </c>
      <c r="N25">
        <v>126.5</v>
      </c>
      <c r="O25">
        <v>3.4500000480000002</v>
      </c>
      <c r="P25">
        <v>76.13</v>
      </c>
      <c r="R25" t="s">
        <v>50</v>
      </c>
      <c r="S25" t="s">
        <v>109</v>
      </c>
      <c r="T25" t="str">
        <f>IF(OR(AK25=1,AN25=1),"reef","no")</f>
        <v>reef</v>
      </c>
      <c r="U25" s="1">
        <v>8.1079503019069396E-2</v>
      </c>
      <c r="V25" s="1">
        <v>0.4401613566434826</v>
      </c>
      <c r="W25" s="1">
        <v>0.24965620006975378</v>
      </c>
      <c r="X25" s="1">
        <v>3.3338612396150509E-4</v>
      </c>
      <c r="Y25" s="1">
        <v>2.9004592404590769E-3</v>
      </c>
      <c r="Z25" s="1">
        <v>0</v>
      </c>
      <c r="AA25" s="1">
        <v>0.22273526540404592</v>
      </c>
      <c r="AB25" s="1">
        <v>3.1338294992276968E-3</v>
      </c>
      <c r="AC25">
        <v>0</v>
      </c>
      <c r="AD25">
        <v>0</v>
      </c>
      <c r="AE25">
        <v>0</v>
      </c>
      <c r="AF25">
        <v>0</v>
      </c>
      <c r="AG25">
        <v>0</v>
      </c>
      <c r="AH25">
        <v>1</v>
      </c>
      <c r="AI25">
        <v>0</v>
      </c>
      <c r="AJ25">
        <v>0</v>
      </c>
      <c r="AK25">
        <v>0</v>
      </c>
      <c r="AL25">
        <v>1</v>
      </c>
      <c r="AM25">
        <v>0</v>
      </c>
      <c r="AN25">
        <v>1</v>
      </c>
      <c r="AO25">
        <v>0</v>
      </c>
      <c r="AP25">
        <v>0</v>
      </c>
      <c r="AQ25">
        <v>0</v>
      </c>
      <c r="AR25">
        <v>0</v>
      </c>
      <c r="AS25" t="s">
        <v>2600</v>
      </c>
      <c r="AU25" s="16"/>
      <c r="AV25" s="16"/>
    </row>
    <row r="26" spans="1:48" x14ac:dyDescent="0.25">
      <c r="A26">
        <v>6</v>
      </c>
      <c r="B26" t="str">
        <f>VLOOKUP(A26,'model groups'!$A$3:$C$86,2,FALSE)</f>
        <v>small sharks and rays</v>
      </c>
      <c r="D26" t="s">
        <v>129</v>
      </c>
      <c r="E26" t="s">
        <v>129</v>
      </c>
      <c r="G26" t="s">
        <v>45</v>
      </c>
      <c r="H26" t="s">
        <v>115</v>
      </c>
      <c r="I26" t="s">
        <v>116</v>
      </c>
      <c r="J26" t="s">
        <v>121</v>
      </c>
      <c r="K26" t="s">
        <v>130</v>
      </c>
      <c r="AR26">
        <v>0</v>
      </c>
      <c r="AS26" t="s">
        <v>2600</v>
      </c>
      <c r="AU26" s="16"/>
      <c r="AV26" s="16"/>
    </row>
    <row r="27" spans="1:48" x14ac:dyDescent="0.25">
      <c r="A27">
        <v>6</v>
      </c>
      <c r="B27" t="str">
        <f>VLOOKUP(A27,'model groups'!$A$3:$C$86,2,FALSE)</f>
        <v>small sharks and rays</v>
      </c>
      <c r="C27" t="s">
        <v>130</v>
      </c>
      <c r="D27" t="s">
        <v>131</v>
      </c>
      <c r="E27" t="s">
        <v>131</v>
      </c>
      <c r="G27" t="s">
        <v>45</v>
      </c>
      <c r="H27" t="s">
        <v>115</v>
      </c>
      <c r="I27" t="s">
        <v>116</v>
      </c>
      <c r="J27" t="s">
        <v>121</v>
      </c>
      <c r="AR27">
        <v>0</v>
      </c>
      <c r="AS27" t="s">
        <v>2600</v>
      </c>
      <c r="AU27" s="16"/>
      <c r="AV27" s="16"/>
    </row>
    <row r="28" spans="1:48" x14ac:dyDescent="0.25">
      <c r="A28">
        <v>6</v>
      </c>
      <c r="B28" t="str">
        <f>VLOOKUP(A28,'model groups'!$A$3:$C$86,2,FALSE)</f>
        <v>small sharks and rays</v>
      </c>
      <c r="D28" t="s">
        <v>132</v>
      </c>
      <c r="E28" t="s">
        <v>132</v>
      </c>
      <c r="G28" t="s">
        <v>45</v>
      </c>
      <c r="H28" t="s">
        <v>115</v>
      </c>
      <c r="I28" t="s">
        <v>116</v>
      </c>
      <c r="J28" t="s">
        <v>133</v>
      </c>
      <c r="K28" t="s">
        <v>134</v>
      </c>
      <c r="AR28">
        <v>0</v>
      </c>
      <c r="AS28" t="s">
        <v>2600</v>
      </c>
      <c r="AU28" s="16"/>
      <c r="AV28" s="16"/>
    </row>
    <row r="29" spans="1:48" x14ac:dyDescent="0.25">
      <c r="A29">
        <v>6</v>
      </c>
      <c r="B29" t="str">
        <f>VLOOKUP(A29,'model groups'!$A$3:$C$86,2,FALSE)</f>
        <v>small sharks and rays</v>
      </c>
      <c r="D29" t="s">
        <v>135</v>
      </c>
      <c r="E29" t="s">
        <v>135</v>
      </c>
      <c r="G29" t="s">
        <v>45</v>
      </c>
      <c r="H29" t="s">
        <v>115</v>
      </c>
      <c r="I29" t="s">
        <v>116</v>
      </c>
      <c r="J29" t="s">
        <v>133</v>
      </c>
      <c r="K29" t="s">
        <v>136</v>
      </c>
      <c r="AR29">
        <v>0</v>
      </c>
      <c r="AS29" t="s">
        <v>2600</v>
      </c>
    </row>
    <row r="30" spans="1:48" x14ac:dyDescent="0.25">
      <c r="A30">
        <v>6</v>
      </c>
      <c r="B30" t="str">
        <f>VLOOKUP(A30,'model groups'!$A$3:$C$86,2,FALSE)</f>
        <v>small sharks and rays</v>
      </c>
      <c r="C30" t="s">
        <v>137</v>
      </c>
      <c r="D30" t="s">
        <v>138</v>
      </c>
      <c r="E30" t="s">
        <v>138</v>
      </c>
      <c r="G30" t="s">
        <v>45</v>
      </c>
      <c r="H30" t="s">
        <v>115</v>
      </c>
      <c r="I30" t="s">
        <v>139</v>
      </c>
      <c r="J30" t="s">
        <v>140</v>
      </c>
      <c r="K30" t="s">
        <v>141</v>
      </c>
      <c r="L30">
        <v>0.353686842</v>
      </c>
      <c r="N30">
        <v>140.19957919999999</v>
      </c>
      <c r="O30">
        <v>3.56</v>
      </c>
      <c r="P30">
        <v>49.54</v>
      </c>
      <c r="R30" t="s">
        <v>50</v>
      </c>
      <c r="S30" t="s">
        <v>109</v>
      </c>
      <c r="T30" t="str">
        <f>IF(OR(AK30=1,AN30=1),"reef","no")</f>
        <v>no</v>
      </c>
      <c r="U30" s="1">
        <v>6.9000001940150033E-2</v>
      </c>
      <c r="V30" s="1">
        <v>0</v>
      </c>
      <c r="W30" s="1">
        <v>0.93099999805985001</v>
      </c>
      <c r="X30" s="1">
        <v>0</v>
      </c>
      <c r="Y30" s="1">
        <v>0</v>
      </c>
      <c r="Z30" s="1">
        <v>0</v>
      </c>
      <c r="AA30" s="1">
        <v>0</v>
      </c>
      <c r="AB30" s="1">
        <v>0</v>
      </c>
      <c r="AC30">
        <v>1</v>
      </c>
      <c r="AD30">
        <v>0</v>
      </c>
      <c r="AE30">
        <v>0</v>
      </c>
      <c r="AF30">
        <v>0</v>
      </c>
      <c r="AG30">
        <v>0</v>
      </c>
      <c r="AH30">
        <v>0</v>
      </c>
      <c r="AI30">
        <v>0</v>
      </c>
      <c r="AJ30">
        <v>0</v>
      </c>
      <c r="AK30">
        <v>0</v>
      </c>
      <c r="AL30">
        <v>0</v>
      </c>
      <c r="AM30">
        <v>1</v>
      </c>
      <c r="AN30">
        <v>0</v>
      </c>
      <c r="AO30">
        <v>0</v>
      </c>
      <c r="AP30">
        <v>0</v>
      </c>
      <c r="AQ30">
        <v>0</v>
      </c>
      <c r="AR30">
        <v>0</v>
      </c>
      <c r="AS30" t="s">
        <v>2600</v>
      </c>
    </row>
    <row r="31" spans="1:48" x14ac:dyDescent="0.25">
      <c r="A31">
        <v>6</v>
      </c>
      <c r="B31" t="str">
        <f>VLOOKUP(A31,'model groups'!$A$3:$C$86,2,FALSE)</f>
        <v>small sharks and rays</v>
      </c>
      <c r="D31" t="s">
        <v>142</v>
      </c>
      <c r="E31" t="s">
        <v>142</v>
      </c>
      <c r="G31" t="s">
        <v>45</v>
      </c>
      <c r="H31" t="s">
        <v>115</v>
      </c>
      <c r="I31" t="s">
        <v>139</v>
      </c>
      <c r="J31" t="s">
        <v>140</v>
      </c>
      <c r="K31" t="s">
        <v>143</v>
      </c>
      <c r="AR31">
        <v>0</v>
      </c>
      <c r="AS31" t="s">
        <v>2600</v>
      </c>
    </row>
    <row r="32" spans="1:48" x14ac:dyDescent="0.25">
      <c r="A32">
        <v>6</v>
      </c>
      <c r="B32" t="str">
        <f>VLOOKUP(A32,'model groups'!$A$3:$C$86,2,FALSE)</f>
        <v>small sharks and rays</v>
      </c>
      <c r="C32" t="s">
        <v>144</v>
      </c>
      <c r="D32" t="s">
        <v>145</v>
      </c>
      <c r="E32" t="s">
        <v>145</v>
      </c>
      <c r="G32" t="s">
        <v>45</v>
      </c>
      <c r="H32" t="s">
        <v>115</v>
      </c>
      <c r="I32" t="s">
        <v>146</v>
      </c>
      <c r="J32" t="s">
        <v>147</v>
      </c>
      <c r="AR32">
        <v>0</v>
      </c>
      <c r="AS32" t="s">
        <v>2600</v>
      </c>
    </row>
    <row r="33" spans="1:45" x14ac:dyDescent="0.25">
      <c r="A33">
        <v>6</v>
      </c>
      <c r="B33" t="str">
        <f>VLOOKUP(A33,'model groups'!$A$3:$C$86,2,FALSE)</f>
        <v>small sharks and rays</v>
      </c>
      <c r="C33" t="s">
        <v>148</v>
      </c>
      <c r="D33" t="s">
        <v>149</v>
      </c>
      <c r="E33" t="s">
        <v>149</v>
      </c>
      <c r="G33" t="s">
        <v>45</v>
      </c>
      <c r="H33" t="s">
        <v>115</v>
      </c>
      <c r="I33" t="s">
        <v>146</v>
      </c>
      <c r="J33" t="s">
        <v>150</v>
      </c>
      <c r="T33" t="str">
        <f>IF(OR(AK33=1,AN33=1),"reef","no")</f>
        <v>no</v>
      </c>
      <c r="U33" s="1"/>
      <c r="V33" s="1"/>
      <c r="W33" s="1"/>
      <c r="X33" s="1"/>
      <c r="Y33" s="1"/>
      <c r="Z33" s="1"/>
      <c r="AA33" s="1"/>
      <c r="AB33" s="1"/>
      <c r="AG33">
        <v>0</v>
      </c>
      <c r="AH33">
        <v>1</v>
      </c>
      <c r="AI33">
        <v>0</v>
      </c>
      <c r="AJ33">
        <v>0</v>
      </c>
      <c r="AK33">
        <v>0</v>
      </c>
      <c r="AL33">
        <v>0</v>
      </c>
      <c r="AM33">
        <v>0</v>
      </c>
      <c r="AN33">
        <v>0</v>
      </c>
      <c r="AO33">
        <v>0</v>
      </c>
      <c r="AP33">
        <v>0</v>
      </c>
      <c r="AQ33">
        <v>0</v>
      </c>
      <c r="AR33">
        <v>0</v>
      </c>
      <c r="AS33" t="s">
        <v>2600</v>
      </c>
    </row>
    <row r="34" spans="1:45" x14ac:dyDescent="0.25">
      <c r="A34">
        <v>6</v>
      </c>
      <c r="B34" t="str">
        <f>VLOOKUP(A34,'model groups'!$A$3:$C$86,2,FALSE)</f>
        <v>small sharks and rays</v>
      </c>
      <c r="C34" t="s">
        <v>151</v>
      </c>
      <c r="D34" t="s">
        <v>152</v>
      </c>
      <c r="E34" t="s">
        <v>152</v>
      </c>
      <c r="G34" t="s">
        <v>45</v>
      </c>
      <c r="H34" t="s">
        <v>115</v>
      </c>
      <c r="I34" t="s">
        <v>146</v>
      </c>
      <c r="J34" t="s">
        <v>150</v>
      </c>
      <c r="AR34">
        <v>0</v>
      </c>
      <c r="AS34" t="s">
        <v>2600</v>
      </c>
    </row>
    <row r="35" spans="1:45" x14ac:dyDescent="0.25">
      <c r="A35">
        <v>6</v>
      </c>
      <c r="B35" t="str">
        <f>VLOOKUP(A35,'model groups'!$A$3:$C$86,2,FALSE)</f>
        <v>small sharks and rays</v>
      </c>
      <c r="D35" t="s">
        <v>153</v>
      </c>
      <c r="E35" t="s">
        <v>153</v>
      </c>
      <c r="G35" t="s">
        <v>45</v>
      </c>
      <c r="H35" t="s">
        <v>115</v>
      </c>
      <c r="I35" t="s">
        <v>146</v>
      </c>
      <c r="J35" t="s">
        <v>154</v>
      </c>
      <c r="K35" t="s">
        <v>155</v>
      </c>
      <c r="AR35">
        <v>0</v>
      </c>
      <c r="AS35" t="s">
        <v>2600</v>
      </c>
    </row>
    <row r="36" spans="1:45" x14ac:dyDescent="0.25">
      <c r="A36">
        <v>6</v>
      </c>
      <c r="B36" t="str">
        <f>VLOOKUP(A36,'model groups'!$A$3:$C$86,2,FALSE)</f>
        <v>small sharks and rays</v>
      </c>
      <c r="C36" t="s">
        <v>156</v>
      </c>
      <c r="D36" t="s">
        <v>157</v>
      </c>
      <c r="E36" t="s">
        <v>157</v>
      </c>
      <c r="G36" t="s">
        <v>45</v>
      </c>
      <c r="H36" t="s">
        <v>104</v>
      </c>
      <c r="I36" t="s">
        <v>158</v>
      </c>
      <c r="J36" t="s">
        <v>159</v>
      </c>
      <c r="K36" t="s">
        <v>160</v>
      </c>
      <c r="L36">
        <v>0.48230136699999998</v>
      </c>
      <c r="N36">
        <v>86.632978379999997</v>
      </c>
      <c r="O36">
        <v>3.713333333</v>
      </c>
      <c r="P36">
        <v>50.9</v>
      </c>
      <c r="R36" t="s">
        <v>50</v>
      </c>
      <c r="S36" t="s">
        <v>109</v>
      </c>
      <c r="T36" t="str">
        <f>IF(OR(AK36=1,AN36=1),"reef","no")</f>
        <v>no</v>
      </c>
      <c r="U36" s="1">
        <v>0.2375714281497586</v>
      </c>
      <c r="V36" s="1">
        <v>0.55242857203254148</v>
      </c>
      <c r="W36" s="1">
        <v>0.15542857025865145</v>
      </c>
      <c r="X36" s="1">
        <v>0</v>
      </c>
      <c r="Y36" s="1">
        <v>0</v>
      </c>
      <c r="Z36" s="1">
        <v>0</v>
      </c>
      <c r="AA36" s="1">
        <v>2.4857142975482856E-2</v>
      </c>
      <c r="AB36" s="1">
        <v>2.9714286583565709E-2</v>
      </c>
      <c r="AC36">
        <v>0</v>
      </c>
      <c r="AD36">
        <v>0</v>
      </c>
      <c r="AE36">
        <v>0</v>
      </c>
      <c r="AF36">
        <v>0</v>
      </c>
      <c r="AG36">
        <v>1</v>
      </c>
      <c r="AH36">
        <v>0</v>
      </c>
      <c r="AI36">
        <v>0</v>
      </c>
      <c r="AJ36">
        <v>0</v>
      </c>
      <c r="AK36">
        <v>0</v>
      </c>
      <c r="AL36">
        <v>0</v>
      </c>
      <c r="AM36">
        <v>1</v>
      </c>
      <c r="AN36">
        <v>0</v>
      </c>
      <c r="AO36">
        <v>0</v>
      </c>
      <c r="AP36">
        <v>0</v>
      </c>
      <c r="AQ36">
        <v>0</v>
      </c>
      <c r="AR36">
        <v>0</v>
      </c>
      <c r="AS36" t="s">
        <v>2600</v>
      </c>
    </row>
    <row r="37" spans="1:45" x14ac:dyDescent="0.25">
      <c r="A37">
        <v>6</v>
      </c>
      <c r="B37" t="str">
        <f>VLOOKUP(A37,'model groups'!$A$3:$C$86,2,FALSE)</f>
        <v>small sharks and rays</v>
      </c>
      <c r="C37" t="s">
        <v>161</v>
      </c>
      <c r="D37" t="s">
        <v>162</v>
      </c>
      <c r="E37" t="s">
        <v>162</v>
      </c>
      <c r="G37" t="s">
        <v>45</v>
      </c>
      <c r="H37" t="s">
        <v>104</v>
      </c>
      <c r="I37" t="s">
        <v>158</v>
      </c>
      <c r="J37" t="s">
        <v>159</v>
      </c>
      <c r="K37" t="s">
        <v>163</v>
      </c>
      <c r="L37">
        <v>0.64585018100000002</v>
      </c>
      <c r="N37">
        <v>55.063001759999999</v>
      </c>
      <c r="O37">
        <v>3.84</v>
      </c>
      <c r="P37">
        <v>46.56</v>
      </c>
      <c r="R37" t="s">
        <v>70</v>
      </c>
      <c r="S37" t="s">
        <v>109</v>
      </c>
      <c r="T37" t="str">
        <f>IF(OR(AK37=1,AN37=1),"reef","no")</f>
        <v>no</v>
      </c>
      <c r="U37" s="1">
        <v>0.2375714281497586</v>
      </c>
      <c r="V37" s="1">
        <v>0.55242857203254148</v>
      </c>
      <c r="W37" s="1">
        <v>0.15542857025865145</v>
      </c>
      <c r="X37" s="1">
        <v>0</v>
      </c>
      <c r="Y37" s="1">
        <v>0</v>
      </c>
      <c r="Z37" s="1">
        <v>0</v>
      </c>
      <c r="AA37" s="1">
        <v>2.4857142975482856E-2</v>
      </c>
      <c r="AB37" s="1">
        <v>2.9714286583565709E-2</v>
      </c>
      <c r="AC37">
        <v>0</v>
      </c>
      <c r="AD37">
        <v>0</v>
      </c>
      <c r="AE37">
        <v>0</v>
      </c>
      <c r="AF37">
        <v>0</v>
      </c>
      <c r="AG37">
        <v>1</v>
      </c>
      <c r="AH37">
        <v>0</v>
      </c>
      <c r="AI37">
        <v>0</v>
      </c>
      <c r="AJ37">
        <v>0</v>
      </c>
      <c r="AK37">
        <v>0</v>
      </c>
      <c r="AL37">
        <v>0</v>
      </c>
      <c r="AM37">
        <v>1</v>
      </c>
      <c r="AN37">
        <v>0</v>
      </c>
      <c r="AO37">
        <v>0</v>
      </c>
      <c r="AP37">
        <v>0</v>
      </c>
      <c r="AQ37">
        <v>0</v>
      </c>
      <c r="AR37">
        <v>0</v>
      </c>
      <c r="AS37" t="s">
        <v>2600</v>
      </c>
    </row>
    <row r="38" spans="1:45" x14ac:dyDescent="0.25">
      <c r="A38">
        <v>6</v>
      </c>
      <c r="B38" t="str">
        <f>VLOOKUP(A38,'model groups'!$A$3:$C$86,2,FALSE)</f>
        <v>small sharks and rays</v>
      </c>
      <c r="D38" t="s">
        <v>164</v>
      </c>
      <c r="E38" t="s">
        <v>164</v>
      </c>
      <c r="G38" t="s">
        <v>45</v>
      </c>
      <c r="H38" t="s">
        <v>104</v>
      </c>
      <c r="I38" t="s">
        <v>158</v>
      </c>
      <c r="J38" t="s">
        <v>165</v>
      </c>
      <c r="K38" t="s">
        <v>166</v>
      </c>
      <c r="AR38">
        <v>0</v>
      </c>
      <c r="AS38" t="s">
        <v>2600</v>
      </c>
    </row>
    <row r="39" spans="1:45" x14ac:dyDescent="0.25">
      <c r="A39">
        <v>6</v>
      </c>
      <c r="B39" t="str">
        <f>VLOOKUP(A39,'model groups'!$A$3:$C$86,2,FALSE)</f>
        <v>small sharks and rays</v>
      </c>
      <c r="C39" t="s">
        <v>167</v>
      </c>
      <c r="D39" t="s">
        <v>168</v>
      </c>
      <c r="E39" t="s">
        <v>168</v>
      </c>
      <c r="G39" t="s">
        <v>45</v>
      </c>
      <c r="H39" t="s">
        <v>169</v>
      </c>
      <c r="I39" t="s">
        <v>170</v>
      </c>
      <c r="J39" t="s">
        <v>171</v>
      </c>
      <c r="K39" t="s">
        <v>172</v>
      </c>
      <c r="L39">
        <v>0.518233469</v>
      </c>
      <c r="N39">
        <v>77.490379770000004</v>
      </c>
      <c r="O39">
        <v>3.55</v>
      </c>
      <c r="P39">
        <v>45.7</v>
      </c>
      <c r="R39" t="s">
        <v>70</v>
      </c>
      <c r="S39" t="s">
        <v>77</v>
      </c>
      <c r="T39" t="str">
        <f>IF(OR(AK39=1,AN39=1),"reef","no")</f>
        <v>no</v>
      </c>
      <c r="U39" s="1"/>
      <c r="V39" s="1"/>
      <c r="W39" s="1"/>
      <c r="X39" s="1"/>
      <c r="Y39" s="1"/>
      <c r="Z39" s="1"/>
      <c r="AA39" s="1"/>
      <c r="AB39" s="1"/>
      <c r="AC39">
        <v>0</v>
      </c>
      <c r="AD39">
        <v>0</v>
      </c>
      <c r="AE39">
        <v>1</v>
      </c>
      <c r="AF39">
        <v>1</v>
      </c>
      <c r="AG39">
        <v>0</v>
      </c>
      <c r="AH39">
        <v>0</v>
      </c>
      <c r="AI39">
        <v>0</v>
      </c>
      <c r="AJ39">
        <v>0</v>
      </c>
      <c r="AK39">
        <v>0</v>
      </c>
      <c r="AL39">
        <v>0</v>
      </c>
      <c r="AM39">
        <v>1</v>
      </c>
      <c r="AN39">
        <v>0</v>
      </c>
      <c r="AO39">
        <v>0</v>
      </c>
      <c r="AP39">
        <v>0</v>
      </c>
      <c r="AQ39">
        <v>0</v>
      </c>
      <c r="AR39">
        <v>0</v>
      </c>
      <c r="AS39" t="s">
        <v>2600</v>
      </c>
    </row>
    <row r="40" spans="1:45" x14ac:dyDescent="0.25">
      <c r="A40">
        <v>6</v>
      </c>
      <c r="B40" t="str">
        <f>VLOOKUP(A40,'model groups'!$A$3:$C$86,2,FALSE)</f>
        <v>small sharks and rays</v>
      </c>
      <c r="C40" t="s">
        <v>173</v>
      </c>
      <c r="D40" t="s">
        <v>174</v>
      </c>
      <c r="E40" t="s">
        <v>174</v>
      </c>
      <c r="G40" t="s">
        <v>45</v>
      </c>
      <c r="H40" t="s">
        <v>46</v>
      </c>
      <c r="I40" t="s">
        <v>59</v>
      </c>
      <c r="J40" t="s">
        <v>60</v>
      </c>
      <c r="K40" t="s">
        <v>175</v>
      </c>
      <c r="L40">
        <v>0.45824576</v>
      </c>
      <c r="M40">
        <v>4.5093033805000005</v>
      </c>
      <c r="N40">
        <v>153.28208810000001</v>
      </c>
      <c r="O40">
        <v>3.846666667</v>
      </c>
      <c r="P40">
        <v>49.68</v>
      </c>
      <c r="Q40">
        <v>1.7744</v>
      </c>
      <c r="R40" t="s">
        <v>50</v>
      </c>
      <c r="S40" t="s">
        <v>77</v>
      </c>
      <c r="T40" t="str">
        <f>IF(OR(AK40=1,AN40=1),"reef","no")</f>
        <v>no</v>
      </c>
      <c r="U40" s="1">
        <v>2.5320506376316651E-2</v>
      </c>
      <c r="V40" s="1">
        <v>0.8086961743467026</v>
      </c>
      <c r="W40" s="1">
        <v>0</v>
      </c>
      <c r="X40" s="1">
        <v>7.9881597477541463E-2</v>
      </c>
      <c r="Y40" s="1">
        <v>8.4941698612815239E-2</v>
      </c>
      <c r="Z40" s="1">
        <v>0</v>
      </c>
      <c r="AA40" s="1">
        <v>1.1600231866240559E-3</v>
      </c>
      <c r="AB40" s="1">
        <v>0</v>
      </c>
      <c r="AC40">
        <v>1</v>
      </c>
      <c r="AD40">
        <v>0</v>
      </c>
      <c r="AE40">
        <v>0</v>
      </c>
      <c r="AF40">
        <v>1</v>
      </c>
      <c r="AG40">
        <v>0</v>
      </c>
      <c r="AH40">
        <v>0</v>
      </c>
      <c r="AI40">
        <v>0</v>
      </c>
      <c r="AJ40">
        <v>0</v>
      </c>
      <c r="AK40">
        <v>0</v>
      </c>
      <c r="AL40">
        <v>0</v>
      </c>
      <c r="AM40">
        <v>1</v>
      </c>
      <c r="AN40">
        <v>0</v>
      </c>
      <c r="AO40">
        <v>1</v>
      </c>
      <c r="AP40">
        <v>0</v>
      </c>
      <c r="AQ40">
        <v>1</v>
      </c>
      <c r="AR40">
        <v>0</v>
      </c>
      <c r="AS40" t="s">
        <v>2600</v>
      </c>
    </row>
    <row r="41" spans="1:45" x14ac:dyDescent="0.25">
      <c r="A41">
        <v>6</v>
      </c>
      <c r="B41" t="str">
        <f>VLOOKUP(A41,'model groups'!$A$3:$C$86,2,FALSE)</f>
        <v>small sharks and rays</v>
      </c>
      <c r="C41" t="s">
        <v>176</v>
      </c>
      <c r="D41" t="s">
        <v>177</v>
      </c>
      <c r="E41" t="s">
        <v>177</v>
      </c>
      <c r="G41" t="s">
        <v>45</v>
      </c>
      <c r="H41" t="s">
        <v>178</v>
      </c>
      <c r="I41" t="s">
        <v>179</v>
      </c>
      <c r="J41" t="s">
        <v>180</v>
      </c>
      <c r="K41" t="s">
        <v>181</v>
      </c>
      <c r="L41">
        <v>0.40650143500000002</v>
      </c>
      <c r="N41">
        <v>112.962564</v>
      </c>
      <c r="O41">
        <v>4.1100000000000003</v>
      </c>
      <c r="P41">
        <v>70.67</v>
      </c>
      <c r="Q41">
        <v>2.3624900000000002</v>
      </c>
      <c r="R41" t="s">
        <v>70</v>
      </c>
      <c r="S41" t="s">
        <v>109</v>
      </c>
      <c r="T41" t="str">
        <f>IF(OR(AK41=1,AN41=1),"reef","no")</f>
        <v>no</v>
      </c>
      <c r="U41" s="1">
        <v>0.81799999931784007</v>
      </c>
      <c r="V41" s="1">
        <v>0</v>
      </c>
      <c r="W41" s="1">
        <v>0</v>
      </c>
      <c r="X41" s="1">
        <v>0</v>
      </c>
      <c r="Y41" s="1">
        <v>9.1000000341079981E-2</v>
      </c>
      <c r="Z41" s="1">
        <v>0</v>
      </c>
      <c r="AA41" s="1">
        <v>9.1000000341079981E-2</v>
      </c>
      <c r="AB41" s="1">
        <v>0</v>
      </c>
      <c r="AC41">
        <v>0</v>
      </c>
      <c r="AD41">
        <v>0</v>
      </c>
      <c r="AE41">
        <v>0</v>
      </c>
      <c r="AF41">
        <v>0</v>
      </c>
      <c r="AG41">
        <v>0</v>
      </c>
      <c r="AH41">
        <v>0</v>
      </c>
      <c r="AI41">
        <v>0</v>
      </c>
      <c r="AJ41">
        <v>1</v>
      </c>
      <c r="AK41">
        <v>0</v>
      </c>
      <c r="AL41">
        <v>0</v>
      </c>
      <c r="AM41">
        <v>0</v>
      </c>
      <c r="AN41">
        <v>0</v>
      </c>
      <c r="AO41">
        <v>0</v>
      </c>
      <c r="AP41">
        <v>0</v>
      </c>
      <c r="AQ41">
        <v>0</v>
      </c>
      <c r="AR41">
        <v>0</v>
      </c>
      <c r="AS41" t="s">
        <v>2600</v>
      </c>
    </row>
    <row r="42" spans="1:45" x14ac:dyDescent="0.25">
      <c r="A42">
        <v>6</v>
      </c>
      <c r="B42" t="str">
        <f>VLOOKUP(A42,'model groups'!$A$3:$C$86,2,FALSE)</f>
        <v>small sharks and rays</v>
      </c>
      <c r="C42" t="s">
        <v>182</v>
      </c>
      <c r="D42" t="s">
        <v>183</v>
      </c>
      <c r="E42" t="s">
        <v>183</v>
      </c>
      <c r="G42" t="s">
        <v>45</v>
      </c>
      <c r="H42" t="s">
        <v>178</v>
      </c>
      <c r="I42" t="s">
        <v>179</v>
      </c>
      <c r="J42" t="s">
        <v>180</v>
      </c>
      <c r="AR42">
        <v>0</v>
      </c>
      <c r="AS42" t="s">
        <v>2600</v>
      </c>
    </row>
    <row r="43" spans="1:45" x14ac:dyDescent="0.25">
      <c r="A43">
        <v>6</v>
      </c>
      <c r="B43" t="str">
        <f>VLOOKUP(A43,'model groups'!$A$3:$C$86,2,FALSE)</f>
        <v>small sharks and rays</v>
      </c>
      <c r="C43" t="s">
        <v>184</v>
      </c>
      <c r="D43" t="s">
        <v>185</v>
      </c>
      <c r="E43" t="s">
        <v>185</v>
      </c>
      <c r="G43" t="s">
        <v>45</v>
      </c>
      <c r="H43" t="s">
        <v>46</v>
      </c>
      <c r="I43" t="s">
        <v>67</v>
      </c>
      <c r="J43" t="s">
        <v>68</v>
      </c>
      <c r="K43" t="s">
        <v>186</v>
      </c>
      <c r="L43">
        <v>0.450766316</v>
      </c>
      <c r="M43">
        <v>3.578394603</v>
      </c>
      <c r="N43">
        <v>153.28208810000001</v>
      </c>
      <c r="O43">
        <v>3.64</v>
      </c>
      <c r="P43">
        <v>87.28</v>
      </c>
      <c r="Q43">
        <v>1.1266099999999999</v>
      </c>
      <c r="R43" t="s">
        <v>50</v>
      </c>
      <c r="S43" t="s">
        <v>109</v>
      </c>
      <c r="T43" t="str">
        <f t="shared" ref="T43:T50" si="2">IF(OR(AK43=1,AN43=1),"reef","no")</f>
        <v>no</v>
      </c>
      <c r="U43" s="1">
        <v>0.10079856025308505</v>
      </c>
      <c r="V43" s="1">
        <v>0.77477464616616198</v>
      </c>
      <c r="W43" s="1">
        <v>1.2256967605777372E-2</v>
      </c>
      <c r="X43" s="1">
        <v>0</v>
      </c>
      <c r="Y43" s="1">
        <v>1.5142640901352807E-2</v>
      </c>
      <c r="Z43" s="1">
        <v>0</v>
      </c>
      <c r="AA43" s="1">
        <v>9.5912915325824244E-2</v>
      </c>
      <c r="AB43" s="1">
        <v>1.1142697477984364E-3</v>
      </c>
      <c r="AC43">
        <v>0</v>
      </c>
      <c r="AD43">
        <v>0</v>
      </c>
      <c r="AE43">
        <v>0</v>
      </c>
      <c r="AF43">
        <v>0</v>
      </c>
      <c r="AG43">
        <v>0</v>
      </c>
      <c r="AH43">
        <v>0</v>
      </c>
      <c r="AI43">
        <v>0</v>
      </c>
      <c r="AJ43">
        <v>1</v>
      </c>
      <c r="AK43">
        <v>0</v>
      </c>
      <c r="AL43">
        <v>0</v>
      </c>
      <c r="AM43">
        <v>0</v>
      </c>
      <c r="AN43">
        <v>0</v>
      </c>
      <c r="AO43">
        <v>0</v>
      </c>
      <c r="AP43">
        <v>0</v>
      </c>
      <c r="AQ43">
        <v>0</v>
      </c>
      <c r="AR43">
        <v>0</v>
      </c>
      <c r="AS43" t="s">
        <v>2600</v>
      </c>
    </row>
    <row r="44" spans="1:45" x14ac:dyDescent="0.25">
      <c r="A44">
        <v>6</v>
      </c>
      <c r="B44" t="str">
        <f>VLOOKUP(A44,'model groups'!$A$3:$C$86,2,FALSE)</f>
        <v>small sharks and rays</v>
      </c>
      <c r="C44" t="s">
        <v>187</v>
      </c>
      <c r="D44" t="s">
        <v>188</v>
      </c>
      <c r="E44" t="s">
        <v>188</v>
      </c>
      <c r="G44" t="s">
        <v>45</v>
      </c>
      <c r="H44" t="s">
        <v>46</v>
      </c>
      <c r="I44" t="s">
        <v>67</v>
      </c>
      <c r="J44" t="s">
        <v>68</v>
      </c>
      <c r="T44" t="str">
        <f t="shared" si="2"/>
        <v>no</v>
      </c>
      <c r="U44" s="1"/>
      <c r="V44" s="1"/>
      <c r="W44" s="1"/>
      <c r="X44" s="1"/>
      <c r="Y44" s="1"/>
      <c r="Z44" s="1"/>
      <c r="AA44" s="1"/>
      <c r="AB44" s="1"/>
      <c r="AG44">
        <v>0</v>
      </c>
      <c r="AH44">
        <v>1</v>
      </c>
      <c r="AI44">
        <v>0</v>
      </c>
      <c r="AJ44">
        <v>0</v>
      </c>
      <c r="AK44">
        <v>0</v>
      </c>
      <c r="AL44">
        <v>0</v>
      </c>
      <c r="AM44">
        <v>0</v>
      </c>
      <c r="AN44">
        <v>0</v>
      </c>
      <c r="AO44">
        <v>0</v>
      </c>
      <c r="AP44">
        <v>0</v>
      </c>
      <c r="AQ44">
        <v>0</v>
      </c>
      <c r="AR44">
        <v>0</v>
      </c>
      <c r="AS44" t="s">
        <v>2600</v>
      </c>
    </row>
    <row r="45" spans="1:45" x14ac:dyDescent="0.25">
      <c r="A45">
        <v>6</v>
      </c>
      <c r="B45" t="str">
        <f>VLOOKUP(A45,'model groups'!$A$3:$C$86,2,FALSE)</f>
        <v>small sharks and rays</v>
      </c>
      <c r="C45" t="s">
        <v>189</v>
      </c>
      <c r="D45" t="s">
        <v>190</v>
      </c>
      <c r="E45" t="s">
        <v>190</v>
      </c>
      <c r="G45" t="s">
        <v>45</v>
      </c>
      <c r="H45" t="s">
        <v>46</v>
      </c>
      <c r="I45" t="s">
        <v>67</v>
      </c>
      <c r="J45" t="s">
        <v>68</v>
      </c>
      <c r="K45" t="s">
        <v>191</v>
      </c>
      <c r="L45">
        <v>0.40650143500000002</v>
      </c>
      <c r="M45">
        <v>4.2312019080000001</v>
      </c>
      <c r="N45">
        <v>112.962564</v>
      </c>
      <c r="O45">
        <v>3.87</v>
      </c>
      <c r="P45">
        <v>57.61</v>
      </c>
      <c r="Q45">
        <v>0.89906699999999995</v>
      </c>
      <c r="R45" t="s">
        <v>70</v>
      </c>
      <c r="S45" t="s">
        <v>109</v>
      </c>
      <c r="T45" t="str">
        <f t="shared" si="2"/>
        <v>reef</v>
      </c>
      <c r="U45" s="1">
        <v>0.10079856025308505</v>
      </c>
      <c r="V45" s="1">
        <v>0.77477464616616198</v>
      </c>
      <c r="W45" s="1">
        <v>1.2256967605777372E-2</v>
      </c>
      <c r="X45" s="1">
        <v>0</v>
      </c>
      <c r="Y45" s="1">
        <v>1.5142640901352807E-2</v>
      </c>
      <c r="Z45" s="1">
        <v>0</v>
      </c>
      <c r="AA45" s="1">
        <v>9.5912915325824244E-2</v>
      </c>
      <c r="AB45" s="1">
        <v>1.1142697477984364E-3</v>
      </c>
      <c r="AC45">
        <v>1</v>
      </c>
      <c r="AD45">
        <v>0</v>
      </c>
      <c r="AE45">
        <v>0</v>
      </c>
      <c r="AF45">
        <v>0</v>
      </c>
      <c r="AG45">
        <v>0</v>
      </c>
      <c r="AH45">
        <v>0</v>
      </c>
      <c r="AI45">
        <v>0</v>
      </c>
      <c r="AJ45">
        <v>1</v>
      </c>
      <c r="AK45">
        <v>0</v>
      </c>
      <c r="AL45">
        <v>0</v>
      </c>
      <c r="AM45">
        <v>0</v>
      </c>
      <c r="AN45">
        <v>1</v>
      </c>
      <c r="AO45">
        <v>0</v>
      </c>
      <c r="AP45">
        <v>0</v>
      </c>
      <c r="AQ45">
        <v>0</v>
      </c>
      <c r="AR45">
        <v>0</v>
      </c>
      <c r="AS45" t="s">
        <v>2600</v>
      </c>
    </row>
    <row r="46" spans="1:45" x14ac:dyDescent="0.25">
      <c r="A46">
        <v>6</v>
      </c>
      <c r="B46" t="str">
        <f>VLOOKUP(A46,'model groups'!$A$3:$C$86,2,FALSE)</f>
        <v>small sharks and rays</v>
      </c>
      <c r="D46" t="s">
        <v>192</v>
      </c>
      <c r="E46" t="s">
        <v>192</v>
      </c>
      <c r="G46" t="s">
        <v>45</v>
      </c>
      <c r="H46" t="s">
        <v>46</v>
      </c>
      <c r="I46" t="s">
        <v>67</v>
      </c>
      <c r="J46" t="s">
        <v>68</v>
      </c>
      <c r="T46" t="str">
        <f t="shared" si="2"/>
        <v>no</v>
      </c>
      <c r="U46" s="1"/>
      <c r="V46" s="1"/>
      <c r="W46" s="1"/>
      <c r="X46" s="1"/>
      <c r="Y46" s="1"/>
      <c r="Z46" s="1"/>
      <c r="AA46" s="1"/>
      <c r="AB46" s="1"/>
      <c r="AG46">
        <v>0</v>
      </c>
      <c r="AH46">
        <v>0</v>
      </c>
      <c r="AI46">
        <v>0</v>
      </c>
      <c r="AJ46">
        <v>1</v>
      </c>
      <c r="AK46">
        <v>0</v>
      </c>
      <c r="AL46">
        <v>0</v>
      </c>
      <c r="AM46">
        <v>0</v>
      </c>
      <c r="AN46">
        <v>0</v>
      </c>
      <c r="AO46">
        <v>0</v>
      </c>
      <c r="AP46">
        <v>0</v>
      </c>
      <c r="AQ46">
        <v>0</v>
      </c>
      <c r="AR46">
        <v>0</v>
      </c>
      <c r="AS46" t="s">
        <v>2600</v>
      </c>
    </row>
    <row r="47" spans="1:45" x14ac:dyDescent="0.25">
      <c r="A47">
        <v>7</v>
      </c>
      <c r="B47" t="str">
        <f>VLOOKUP(A47,'model groups'!$A$3:$C$86,2,FALSE)</f>
        <v>pelagic piscivores</v>
      </c>
      <c r="C47" t="s">
        <v>193</v>
      </c>
      <c r="D47" t="s">
        <v>194</v>
      </c>
      <c r="E47" t="s">
        <v>194</v>
      </c>
      <c r="G47" t="s">
        <v>195</v>
      </c>
      <c r="H47" t="s">
        <v>196</v>
      </c>
      <c r="I47" t="s">
        <v>197</v>
      </c>
      <c r="J47" t="s">
        <v>198</v>
      </c>
      <c r="K47" t="s">
        <v>199</v>
      </c>
      <c r="L47">
        <v>0.67015785400000005</v>
      </c>
      <c r="M47">
        <v>8.5792493020000009</v>
      </c>
      <c r="N47">
        <v>51.994377290000003</v>
      </c>
      <c r="O47">
        <v>3.87</v>
      </c>
      <c r="P47">
        <v>31.89</v>
      </c>
      <c r="Q47">
        <v>2.6185299999999998</v>
      </c>
      <c r="R47" t="s">
        <v>70</v>
      </c>
      <c r="S47" t="s">
        <v>51</v>
      </c>
      <c r="T47" t="str">
        <f t="shared" si="2"/>
        <v>no</v>
      </c>
      <c r="U47" s="1">
        <v>0</v>
      </c>
      <c r="V47" s="1">
        <v>0</v>
      </c>
      <c r="W47" s="1">
        <v>0.27269999418286023</v>
      </c>
      <c r="X47" s="1">
        <v>0</v>
      </c>
      <c r="Y47" s="1">
        <v>0</v>
      </c>
      <c r="Z47" s="1">
        <v>0</v>
      </c>
      <c r="AA47" s="1">
        <v>0.72730000581713983</v>
      </c>
      <c r="AB47" s="1">
        <v>0</v>
      </c>
      <c r="AC47">
        <v>0</v>
      </c>
      <c r="AD47">
        <v>0</v>
      </c>
      <c r="AE47">
        <v>0</v>
      </c>
      <c r="AF47">
        <v>0</v>
      </c>
      <c r="AG47">
        <v>0</v>
      </c>
      <c r="AH47">
        <v>0</v>
      </c>
      <c r="AI47">
        <v>0</v>
      </c>
      <c r="AJ47">
        <v>0</v>
      </c>
      <c r="AK47">
        <v>0</v>
      </c>
      <c r="AL47">
        <v>0</v>
      </c>
      <c r="AM47">
        <v>1</v>
      </c>
      <c r="AN47">
        <v>0</v>
      </c>
      <c r="AO47">
        <v>0</v>
      </c>
      <c r="AP47">
        <v>0</v>
      </c>
      <c r="AQ47">
        <v>0</v>
      </c>
      <c r="AR47">
        <v>2</v>
      </c>
      <c r="AS47" t="s">
        <v>2227</v>
      </c>
    </row>
    <row r="48" spans="1:45" x14ac:dyDescent="0.25">
      <c r="A48">
        <v>7</v>
      </c>
      <c r="B48" t="str">
        <f>VLOOKUP(A48,'model groups'!$A$3:$C$86,2,FALSE)</f>
        <v>pelagic piscivores</v>
      </c>
      <c r="C48" t="s">
        <v>200</v>
      </c>
      <c r="D48" t="s">
        <v>201</v>
      </c>
      <c r="E48" t="s">
        <v>201</v>
      </c>
      <c r="G48" t="s">
        <v>195</v>
      </c>
      <c r="H48" t="s">
        <v>196</v>
      </c>
      <c r="I48" t="s">
        <v>197</v>
      </c>
      <c r="J48" t="s">
        <v>202</v>
      </c>
      <c r="K48" t="s">
        <v>203</v>
      </c>
      <c r="L48">
        <v>0.320541248</v>
      </c>
      <c r="M48">
        <v>4.3382382684999996</v>
      </c>
      <c r="N48">
        <v>163.3332016</v>
      </c>
      <c r="O48">
        <v>4.4400000000000004</v>
      </c>
      <c r="P48">
        <v>73.55</v>
      </c>
      <c r="Q48">
        <v>3.7442199999999999</v>
      </c>
      <c r="R48" t="s">
        <v>70</v>
      </c>
      <c r="S48" t="s">
        <v>51</v>
      </c>
      <c r="T48" t="str">
        <f t="shared" si="2"/>
        <v>reef</v>
      </c>
      <c r="U48" s="1">
        <v>0.92085000120982452</v>
      </c>
      <c r="V48" s="1">
        <v>7.8499998812145005E-2</v>
      </c>
      <c r="W48" s="1">
        <v>0</v>
      </c>
      <c r="X48" s="1">
        <v>0</v>
      </c>
      <c r="Y48" s="1">
        <v>0</v>
      </c>
      <c r="Z48" s="1">
        <v>0</v>
      </c>
      <c r="AA48" s="1">
        <v>6.4999997803050018E-4</v>
      </c>
      <c r="AB48" s="1">
        <v>0</v>
      </c>
      <c r="AC48">
        <v>0</v>
      </c>
      <c r="AD48">
        <v>1</v>
      </c>
      <c r="AE48">
        <v>0</v>
      </c>
      <c r="AF48">
        <v>1</v>
      </c>
      <c r="AG48">
        <v>0</v>
      </c>
      <c r="AH48">
        <v>0</v>
      </c>
      <c r="AI48">
        <v>0</v>
      </c>
      <c r="AJ48">
        <v>0</v>
      </c>
      <c r="AK48">
        <v>1</v>
      </c>
      <c r="AL48">
        <v>0</v>
      </c>
      <c r="AM48">
        <v>0</v>
      </c>
      <c r="AN48">
        <v>1</v>
      </c>
      <c r="AO48">
        <v>1</v>
      </c>
      <c r="AP48">
        <v>0</v>
      </c>
      <c r="AQ48">
        <v>1</v>
      </c>
      <c r="AR48">
        <v>2</v>
      </c>
      <c r="AS48" t="s">
        <v>2227</v>
      </c>
    </row>
    <row r="49" spans="1:45" x14ac:dyDescent="0.25">
      <c r="A49">
        <v>7</v>
      </c>
      <c r="B49" t="str">
        <f>VLOOKUP(A49,'model groups'!$A$3:$C$86,2,FALSE)</f>
        <v>pelagic piscivores</v>
      </c>
      <c r="C49" t="s">
        <v>204</v>
      </c>
      <c r="D49" t="s">
        <v>205</v>
      </c>
      <c r="E49" t="s">
        <v>205</v>
      </c>
      <c r="G49" t="s">
        <v>195</v>
      </c>
      <c r="H49" t="s">
        <v>196</v>
      </c>
      <c r="I49" t="s">
        <v>197</v>
      </c>
      <c r="J49" t="s">
        <v>202</v>
      </c>
      <c r="K49" t="s">
        <v>206</v>
      </c>
      <c r="L49">
        <v>0.518233469</v>
      </c>
      <c r="M49">
        <v>6.4338034474999999</v>
      </c>
      <c r="N49">
        <v>77.490379770000004</v>
      </c>
      <c r="O49">
        <v>4.5366666670000004</v>
      </c>
      <c r="P49">
        <v>42.17</v>
      </c>
      <c r="Q49">
        <v>2.3628499999999999</v>
      </c>
      <c r="R49" t="s">
        <v>70</v>
      </c>
      <c r="S49" t="s">
        <v>51</v>
      </c>
      <c r="T49" t="str">
        <f t="shared" si="2"/>
        <v>no</v>
      </c>
      <c r="U49" s="1">
        <v>0.4957004271707891</v>
      </c>
      <c r="V49" s="1">
        <v>0.31881811837439844</v>
      </c>
      <c r="W49" s="1">
        <v>0.17973202940543612</v>
      </c>
      <c r="X49" s="1">
        <v>0</v>
      </c>
      <c r="Y49" s="1">
        <v>0</v>
      </c>
      <c r="Z49" s="1">
        <v>0</v>
      </c>
      <c r="AA49" s="1">
        <v>5.7494250493763744E-3</v>
      </c>
      <c r="AB49" s="1">
        <v>0</v>
      </c>
      <c r="AC49">
        <v>0</v>
      </c>
      <c r="AD49">
        <v>0</v>
      </c>
      <c r="AE49">
        <v>0</v>
      </c>
      <c r="AF49">
        <v>0</v>
      </c>
      <c r="AG49">
        <v>0</v>
      </c>
      <c r="AH49">
        <v>0</v>
      </c>
      <c r="AI49">
        <v>0</v>
      </c>
      <c r="AJ49">
        <v>0</v>
      </c>
      <c r="AK49">
        <v>0</v>
      </c>
      <c r="AL49">
        <v>0</v>
      </c>
      <c r="AM49">
        <v>1</v>
      </c>
      <c r="AN49">
        <v>0</v>
      </c>
      <c r="AO49">
        <v>0</v>
      </c>
      <c r="AP49">
        <v>0</v>
      </c>
      <c r="AQ49">
        <v>1</v>
      </c>
      <c r="AR49">
        <v>2</v>
      </c>
      <c r="AS49" t="s">
        <v>2227</v>
      </c>
    </row>
    <row r="50" spans="1:45" x14ac:dyDescent="0.25">
      <c r="A50">
        <v>7</v>
      </c>
      <c r="B50" t="str">
        <f>VLOOKUP(A50,'model groups'!$A$3:$C$86,2,FALSE)</f>
        <v>pelagic piscivores</v>
      </c>
      <c r="D50" t="s">
        <v>207</v>
      </c>
      <c r="E50" t="s">
        <v>208</v>
      </c>
      <c r="G50" t="s">
        <v>195</v>
      </c>
      <c r="H50" t="s">
        <v>209</v>
      </c>
      <c r="I50" t="s">
        <v>197</v>
      </c>
      <c r="J50" t="s">
        <v>202</v>
      </c>
      <c r="T50" t="str">
        <f t="shared" si="2"/>
        <v>reef</v>
      </c>
      <c r="U50" s="1"/>
      <c r="V50" s="1"/>
      <c r="W50" s="1"/>
      <c r="X50" s="1"/>
      <c r="Y50" s="1"/>
      <c r="Z50" s="1"/>
      <c r="AA50" s="1"/>
      <c r="AB50" s="1"/>
      <c r="AG50">
        <v>0</v>
      </c>
      <c r="AH50">
        <v>0</v>
      </c>
      <c r="AI50">
        <v>0</v>
      </c>
      <c r="AJ50">
        <v>0</v>
      </c>
      <c r="AK50">
        <v>1</v>
      </c>
      <c r="AL50">
        <v>0</v>
      </c>
      <c r="AM50">
        <v>0</v>
      </c>
      <c r="AN50">
        <v>0</v>
      </c>
      <c r="AO50">
        <v>0</v>
      </c>
      <c r="AP50">
        <v>0</v>
      </c>
      <c r="AQ50">
        <v>0</v>
      </c>
      <c r="AR50">
        <v>2</v>
      </c>
      <c r="AS50" t="s">
        <v>2227</v>
      </c>
    </row>
    <row r="51" spans="1:45" x14ac:dyDescent="0.25">
      <c r="A51">
        <v>7</v>
      </c>
      <c r="B51" t="str">
        <f>VLOOKUP(A51,'model groups'!$A$3:$C$86,2,FALSE)</f>
        <v>pelagic piscivores</v>
      </c>
      <c r="C51" t="s">
        <v>71</v>
      </c>
      <c r="D51" t="s">
        <v>210</v>
      </c>
      <c r="E51" t="s">
        <v>210</v>
      </c>
      <c r="G51" t="s">
        <v>195</v>
      </c>
      <c r="H51" t="s">
        <v>209</v>
      </c>
      <c r="I51" t="s">
        <v>211</v>
      </c>
      <c r="J51" t="s">
        <v>212</v>
      </c>
      <c r="K51" t="s">
        <v>213</v>
      </c>
      <c r="L51" t="s">
        <v>71</v>
      </c>
      <c r="M51" t="s">
        <v>71</v>
      </c>
      <c r="N51" t="s">
        <v>71</v>
      </c>
      <c r="O51" t="s">
        <v>71</v>
      </c>
      <c r="P51" t="s">
        <v>71</v>
      </c>
      <c r="Q51" t="s">
        <v>71</v>
      </c>
      <c r="R51" t="s">
        <v>71</v>
      </c>
      <c r="S51" t="s">
        <v>71</v>
      </c>
      <c r="U51" t="s">
        <v>71</v>
      </c>
      <c r="V51" t="s">
        <v>71</v>
      </c>
      <c r="W51" t="s">
        <v>71</v>
      </c>
      <c r="X51" t="s">
        <v>71</v>
      </c>
      <c r="Y51" t="s">
        <v>71</v>
      </c>
      <c r="Z51" t="s">
        <v>71</v>
      </c>
      <c r="AA51" t="s">
        <v>71</v>
      </c>
      <c r="AB51" t="s">
        <v>71</v>
      </c>
      <c r="AC51" t="s">
        <v>71</v>
      </c>
      <c r="AD51" t="s">
        <v>71</v>
      </c>
      <c r="AE51" t="s">
        <v>71</v>
      </c>
      <c r="AF51" t="s">
        <v>71</v>
      </c>
      <c r="AG51">
        <v>0</v>
      </c>
      <c r="AH51">
        <v>0</v>
      </c>
      <c r="AI51">
        <v>0</v>
      </c>
      <c r="AJ51">
        <v>0</v>
      </c>
      <c r="AK51">
        <v>0</v>
      </c>
      <c r="AL51">
        <v>0</v>
      </c>
      <c r="AM51">
        <v>0</v>
      </c>
      <c r="AN51">
        <v>0</v>
      </c>
      <c r="AO51">
        <v>0</v>
      </c>
      <c r="AP51">
        <v>0</v>
      </c>
      <c r="AQ51">
        <v>1</v>
      </c>
      <c r="AR51">
        <v>2</v>
      </c>
      <c r="AS51" t="s">
        <v>2227</v>
      </c>
    </row>
    <row r="52" spans="1:45" x14ac:dyDescent="0.25">
      <c r="A52">
        <v>7</v>
      </c>
      <c r="B52" t="str">
        <f>VLOOKUP(A52,'model groups'!$A$3:$C$86,2,FALSE)</f>
        <v>pelagic piscivores</v>
      </c>
      <c r="C52" t="s">
        <v>214</v>
      </c>
      <c r="D52" t="s">
        <v>215</v>
      </c>
      <c r="E52" t="s">
        <v>215</v>
      </c>
      <c r="G52" t="s">
        <v>195</v>
      </c>
      <c r="H52" t="s">
        <v>196</v>
      </c>
      <c r="I52" t="s">
        <v>211</v>
      </c>
      <c r="J52" t="s">
        <v>212</v>
      </c>
      <c r="K52" t="s">
        <v>216</v>
      </c>
      <c r="L52">
        <v>2.5808571429999998</v>
      </c>
      <c r="M52">
        <v>4.1157272814999999</v>
      </c>
      <c r="N52">
        <v>139.80000000000001</v>
      </c>
      <c r="O52">
        <v>4.37</v>
      </c>
      <c r="P52">
        <v>39.83</v>
      </c>
      <c r="Q52">
        <v>2.235185</v>
      </c>
      <c r="R52" t="s">
        <v>50</v>
      </c>
      <c r="S52" t="s">
        <v>51</v>
      </c>
      <c r="T52" t="str">
        <f>IF(OR(AK52=1,AN52=1),"reef","no")</f>
        <v>no</v>
      </c>
      <c r="U52" s="1">
        <v>0.93174487988267529</v>
      </c>
      <c r="V52" s="1">
        <v>0</v>
      </c>
      <c r="W52" s="1">
        <v>0</v>
      </c>
      <c r="X52" s="1">
        <v>0</v>
      </c>
      <c r="Y52" s="1">
        <v>3.5252644853593161E-2</v>
      </c>
      <c r="Z52" s="1">
        <v>0</v>
      </c>
      <c r="AA52" s="1">
        <v>0</v>
      </c>
      <c r="AB52" s="1">
        <v>3.3002475263731637E-2</v>
      </c>
      <c r="AC52">
        <v>0</v>
      </c>
      <c r="AD52">
        <v>0</v>
      </c>
      <c r="AE52">
        <v>1</v>
      </c>
      <c r="AF52">
        <v>1</v>
      </c>
      <c r="AG52">
        <v>0</v>
      </c>
      <c r="AH52">
        <v>0</v>
      </c>
      <c r="AI52">
        <v>0</v>
      </c>
      <c r="AJ52">
        <v>0</v>
      </c>
      <c r="AK52">
        <v>0</v>
      </c>
      <c r="AL52">
        <v>0</v>
      </c>
      <c r="AM52">
        <v>0</v>
      </c>
      <c r="AN52">
        <v>0</v>
      </c>
      <c r="AO52">
        <v>1</v>
      </c>
      <c r="AP52">
        <v>0</v>
      </c>
      <c r="AQ52">
        <v>0</v>
      </c>
      <c r="AR52">
        <v>2</v>
      </c>
      <c r="AS52" t="s">
        <v>2227</v>
      </c>
    </row>
    <row r="53" spans="1:45" x14ac:dyDescent="0.25">
      <c r="A53">
        <v>7</v>
      </c>
      <c r="B53" t="str">
        <f>VLOOKUP(A53,'model groups'!$A$3:$C$86,2,FALSE)</f>
        <v>pelagic piscivores</v>
      </c>
      <c r="C53" t="s">
        <v>217</v>
      </c>
      <c r="D53" t="s">
        <v>218</v>
      </c>
      <c r="E53" t="s">
        <v>218</v>
      </c>
      <c r="G53" t="s">
        <v>195</v>
      </c>
      <c r="H53" t="s">
        <v>196</v>
      </c>
      <c r="I53" t="s">
        <v>219</v>
      </c>
      <c r="J53" t="s">
        <v>220</v>
      </c>
      <c r="K53" t="s">
        <v>221</v>
      </c>
      <c r="L53">
        <v>0.375</v>
      </c>
      <c r="M53">
        <v>5.0391513860000003</v>
      </c>
      <c r="N53">
        <v>350.88769129999997</v>
      </c>
      <c r="O53">
        <v>4.5</v>
      </c>
      <c r="P53">
        <v>67.650000000000006</v>
      </c>
      <c r="Q53">
        <v>5.9213899999999997</v>
      </c>
      <c r="R53" t="s">
        <v>70</v>
      </c>
      <c r="S53" t="s">
        <v>51</v>
      </c>
      <c r="T53" t="str">
        <f>IF(OR(AK53=1,AN53=1),"reef","no")</f>
        <v>no</v>
      </c>
      <c r="U53" s="1">
        <v>0.97290135442166337</v>
      </c>
      <c r="V53" s="1">
        <v>0</v>
      </c>
      <c r="W53" s="1">
        <v>0</v>
      </c>
      <c r="X53" s="1">
        <v>0</v>
      </c>
      <c r="Y53" s="1">
        <v>2.7098645578336553E-2</v>
      </c>
      <c r="Z53" s="1">
        <v>0</v>
      </c>
      <c r="AA53" s="1">
        <v>0</v>
      </c>
      <c r="AB53" s="1">
        <v>0</v>
      </c>
      <c r="AC53">
        <v>0</v>
      </c>
      <c r="AD53">
        <v>0</v>
      </c>
      <c r="AE53">
        <v>0</v>
      </c>
      <c r="AF53">
        <v>1</v>
      </c>
      <c r="AG53">
        <v>0</v>
      </c>
      <c r="AH53">
        <v>0</v>
      </c>
      <c r="AI53">
        <v>0</v>
      </c>
      <c r="AJ53">
        <v>0</v>
      </c>
      <c r="AK53">
        <v>0</v>
      </c>
      <c r="AL53">
        <v>0</v>
      </c>
      <c r="AM53">
        <v>0</v>
      </c>
      <c r="AN53">
        <v>0</v>
      </c>
      <c r="AO53">
        <v>1</v>
      </c>
      <c r="AP53">
        <v>0</v>
      </c>
      <c r="AQ53">
        <v>0</v>
      </c>
      <c r="AR53">
        <v>2</v>
      </c>
      <c r="AS53" t="s">
        <v>2227</v>
      </c>
    </row>
    <row r="54" spans="1:45" x14ac:dyDescent="0.25">
      <c r="A54">
        <v>7</v>
      </c>
      <c r="B54" t="str">
        <f>VLOOKUP(A54,'model groups'!$A$3:$C$86,2,FALSE)</f>
        <v>pelagic piscivores</v>
      </c>
      <c r="C54" t="s">
        <v>222</v>
      </c>
      <c r="D54" t="s">
        <v>223</v>
      </c>
      <c r="E54" t="s">
        <v>223</v>
      </c>
      <c r="G54" t="s">
        <v>195</v>
      </c>
      <c r="H54" t="s">
        <v>196</v>
      </c>
      <c r="I54" t="s">
        <v>224</v>
      </c>
      <c r="J54" t="s">
        <v>225</v>
      </c>
      <c r="K54" t="s">
        <v>226</v>
      </c>
      <c r="L54">
        <v>0.42895291099999999</v>
      </c>
      <c r="M54">
        <v>6.0635306579999995</v>
      </c>
      <c r="N54">
        <v>111</v>
      </c>
      <c r="O54">
        <v>4.2633333330000003</v>
      </c>
      <c r="P54">
        <v>56.97</v>
      </c>
      <c r="Q54">
        <v>4.1835599999999999</v>
      </c>
      <c r="R54" t="s">
        <v>50</v>
      </c>
      <c r="S54" t="s">
        <v>77</v>
      </c>
      <c r="T54" t="str">
        <f>IF(OR(AK54=1,AN54=1),"reef","no")</f>
        <v>no</v>
      </c>
      <c r="U54" s="1">
        <v>0.78246667349549126</v>
      </c>
      <c r="V54" s="1">
        <v>7.8000000010779993E-3</v>
      </c>
      <c r="W54" s="1">
        <v>3.3333333833666663E-4</v>
      </c>
      <c r="X54" s="1">
        <v>0</v>
      </c>
      <c r="Y54" s="1">
        <v>0.12199999429122002</v>
      </c>
      <c r="Z54" s="1">
        <v>0</v>
      </c>
      <c r="AA54" s="1">
        <v>6.8999999025689998E-2</v>
      </c>
      <c r="AB54" s="1">
        <v>1.8399999848183999E-2</v>
      </c>
      <c r="AC54">
        <v>0</v>
      </c>
      <c r="AD54">
        <v>0</v>
      </c>
      <c r="AE54">
        <v>0</v>
      </c>
      <c r="AF54">
        <v>0</v>
      </c>
      <c r="AG54">
        <v>0</v>
      </c>
      <c r="AH54">
        <v>0</v>
      </c>
      <c r="AI54">
        <v>0</v>
      </c>
      <c r="AJ54">
        <v>0</v>
      </c>
      <c r="AK54">
        <v>0</v>
      </c>
      <c r="AL54">
        <v>0</v>
      </c>
      <c r="AM54">
        <v>0</v>
      </c>
      <c r="AN54">
        <v>0</v>
      </c>
      <c r="AO54">
        <v>1</v>
      </c>
      <c r="AP54">
        <v>0</v>
      </c>
      <c r="AQ54">
        <v>1</v>
      </c>
      <c r="AR54">
        <v>2</v>
      </c>
      <c r="AS54" t="s">
        <v>2227</v>
      </c>
    </row>
    <row r="55" spans="1:45" x14ac:dyDescent="0.25">
      <c r="A55">
        <v>7</v>
      </c>
      <c r="B55" t="str">
        <f>VLOOKUP(A55,'model groups'!$A$3:$C$86,2,FALSE)</f>
        <v>pelagic piscivores</v>
      </c>
      <c r="C55" t="s">
        <v>227</v>
      </c>
      <c r="D55" t="s">
        <v>228</v>
      </c>
      <c r="E55" t="s">
        <v>228</v>
      </c>
      <c r="G55" t="s">
        <v>195</v>
      </c>
      <c r="H55" t="s">
        <v>196</v>
      </c>
      <c r="I55" t="s">
        <v>224</v>
      </c>
      <c r="J55" t="s">
        <v>229</v>
      </c>
      <c r="K55" t="s">
        <v>230</v>
      </c>
      <c r="L55">
        <v>0.83237191099999996</v>
      </c>
      <c r="M55">
        <v>10.392168460500001</v>
      </c>
      <c r="N55">
        <v>69.400000000000006</v>
      </c>
      <c r="O55">
        <v>4.38</v>
      </c>
      <c r="P55">
        <v>32.68</v>
      </c>
      <c r="Q55">
        <v>5.7576299999999998</v>
      </c>
      <c r="R55" t="s">
        <v>50</v>
      </c>
      <c r="S55" t="s">
        <v>51</v>
      </c>
      <c r="T55" t="str">
        <f>IF(OR(AK55=1,AN55=1),"reef","no")</f>
        <v>no</v>
      </c>
      <c r="U55">
        <v>0.80700000024670004</v>
      </c>
      <c r="V55">
        <v>0</v>
      </c>
      <c r="W55">
        <v>0</v>
      </c>
      <c r="X55">
        <v>0</v>
      </c>
      <c r="Y55">
        <v>0.19299999975330001</v>
      </c>
      <c r="Z55">
        <v>0</v>
      </c>
      <c r="AA55">
        <v>0</v>
      </c>
      <c r="AB55">
        <v>0</v>
      </c>
      <c r="AC55">
        <v>0</v>
      </c>
      <c r="AD55">
        <v>0</v>
      </c>
      <c r="AE55" t="s">
        <v>231</v>
      </c>
      <c r="AF55" t="s">
        <v>231</v>
      </c>
      <c r="AG55">
        <v>0</v>
      </c>
      <c r="AH55">
        <v>0</v>
      </c>
      <c r="AI55">
        <v>0</v>
      </c>
      <c r="AJ55">
        <v>0</v>
      </c>
      <c r="AK55">
        <v>0</v>
      </c>
      <c r="AL55">
        <v>0</v>
      </c>
      <c r="AM55">
        <v>0</v>
      </c>
      <c r="AN55">
        <v>0</v>
      </c>
      <c r="AO55">
        <v>0</v>
      </c>
      <c r="AP55">
        <v>0</v>
      </c>
      <c r="AQ55">
        <v>1</v>
      </c>
      <c r="AR55">
        <v>2</v>
      </c>
      <c r="AS55" t="s">
        <v>2227</v>
      </c>
    </row>
    <row r="56" spans="1:45" x14ac:dyDescent="0.25">
      <c r="A56">
        <v>7</v>
      </c>
      <c r="B56" t="str">
        <f>VLOOKUP(A56,'model groups'!$A$3:$C$86,2,FALSE)</f>
        <v>pelagic piscivores</v>
      </c>
      <c r="C56" t="s">
        <v>71</v>
      </c>
      <c r="D56" t="s">
        <v>232</v>
      </c>
      <c r="E56" t="s">
        <v>232</v>
      </c>
      <c r="G56" t="s">
        <v>195</v>
      </c>
      <c r="H56" t="s">
        <v>233</v>
      </c>
      <c r="I56" t="s">
        <v>224</v>
      </c>
      <c r="J56" t="s">
        <v>234</v>
      </c>
      <c r="K56" t="s">
        <v>235</v>
      </c>
      <c r="L56" t="s">
        <v>71</v>
      </c>
      <c r="M56" t="s">
        <v>71</v>
      </c>
      <c r="N56" t="s">
        <v>71</v>
      </c>
      <c r="O56" t="s">
        <v>71</v>
      </c>
      <c r="P56" t="s">
        <v>71</v>
      </c>
      <c r="Q56" t="s">
        <v>71</v>
      </c>
      <c r="R56" t="s">
        <v>71</v>
      </c>
      <c r="S56" t="s">
        <v>71</v>
      </c>
      <c r="U56" t="s">
        <v>71</v>
      </c>
      <c r="V56" t="s">
        <v>71</v>
      </c>
      <c r="W56" t="s">
        <v>71</v>
      </c>
      <c r="X56" t="s">
        <v>71</v>
      </c>
      <c r="Y56" t="s">
        <v>71</v>
      </c>
      <c r="Z56" t="s">
        <v>71</v>
      </c>
      <c r="AA56" t="s">
        <v>71</v>
      </c>
      <c r="AB56" t="s">
        <v>71</v>
      </c>
      <c r="AC56" t="s">
        <v>71</v>
      </c>
      <c r="AD56" t="s">
        <v>71</v>
      </c>
      <c r="AE56" t="s">
        <v>71</v>
      </c>
      <c r="AF56" t="s">
        <v>71</v>
      </c>
      <c r="AG56">
        <v>0</v>
      </c>
      <c r="AH56">
        <v>0</v>
      </c>
      <c r="AI56">
        <v>0</v>
      </c>
      <c r="AJ56">
        <v>0</v>
      </c>
      <c r="AK56">
        <v>0</v>
      </c>
      <c r="AL56">
        <v>0</v>
      </c>
      <c r="AM56">
        <v>0</v>
      </c>
      <c r="AN56">
        <v>0</v>
      </c>
      <c r="AO56">
        <v>0</v>
      </c>
      <c r="AP56">
        <v>0</v>
      </c>
      <c r="AQ56">
        <v>1</v>
      </c>
      <c r="AR56">
        <v>2</v>
      </c>
      <c r="AS56" t="s">
        <v>2227</v>
      </c>
    </row>
    <row r="57" spans="1:45" x14ac:dyDescent="0.25">
      <c r="A57">
        <v>7</v>
      </c>
      <c r="B57" t="str">
        <f>VLOOKUP(A57,'model groups'!$A$3:$C$86,2,FALSE)</f>
        <v>pelagic piscivores</v>
      </c>
      <c r="C57" t="s">
        <v>236</v>
      </c>
      <c r="D57" t="s">
        <v>237</v>
      </c>
      <c r="E57" t="s">
        <v>237</v>
      </c>
      <c r="G57" t="s">
        <v>195</v>
      </c>
      <c r="H57" t="s">
        <v>196</v>
      </c>
      <c r="I57" t="s">
        <v>224</v>
      </c>
      <c r="J57" t="s">
        <v>234</v>
      </c>
      <c r="K57" t="s">
        <v>238</v>
      </c>
      <c r="O57">
        <v>3.91</v>
      </c>
      <c r="P57">
        <v>48.52</v>
      </c>
      <c r="Q57">
        <v>2.2132999999999998</v>
      </c>
      <c r="R57" t="s">
        <v>50</v>
      </c>
      <c r="S57" t="s">
        <v>51</v>
      </c>
      <c r="T57" t="str">
        <f>IF(OR(AK57=1,AN57=1),"reef","no")</f>
        <v>no</v>
      </c>
      <c r="U57" s="1"/>
      <c r="V57" s="1"/>
      <c r="W57" s="1"/>
      <c r="X57" s="1"/>
      <c r="Y57" s="1"/>
      <c r="Z57" s="1"/>
      <c r="AA57" s="1"/>
      <c r="AB57" s="1"/>
      <c r="AC57">
        <v>0</v>
      </c>
      <c r="AD57">
        <v>0</v>
      </c>
      <c r="AE57">
        <v>0</v>
      </c>
      <c r="AF57">
        <v>0</v>
      </c>
      <c r="AG57">
        <v>0</v>
      </c>
      <c r="AH57">
        <v>0</v>
      </c>
      <c r="AI57">
        <v>0</v>
      </c>
      <c r="AJ57">
        <v>0</v>
      </c>
      <c r="AK57">
        <v>0</v>
      </c>
      <c r="AL57">
        <v>0</v>
      </c>
      <c r="AM57">
        <v>1</v>
      </c>
      <c r="AN57">
        <v>0</v>
      </c>
      <c r="AO57">
        <v>0</v>
      </c>
      <c r="AP57">
        <v>0</v>
      </c>
      <c r="AQ57">
        <v>0</v>
      </c>
      <c r="AR57">
        <v>2</v>
      </c>
      <c r="AS57" t="s">
        <v>2227</v>
      </c>
    </row>
    <row r="58" spans="1:45" x14ac:dyDescent="0.25">
      <c r="A58">
        <v>7</v>
      </c>
      <c r="B58" t="str">
        <f>VLOOKUP(A58,'model groups'!$A$3:$C$86,2,FALSE)</f>
        <v>pelagic piscivores</v>
      </c>
      <c r="C58" t="s">
        <v>239</v>
      </c>
      <c r="D58" t="s">
        <v>240</v>
      </c>
      <c r="E58" t="s">
        <v>240</v>
      </c>
      <c r="G58" t="s">
        <v>241</v>
      </c>
      <c r="H58" t="s">
        <v>233</v>
      </c>
      <c r="I58" t="s">
        <v>224</v>
      </c>
      <c r="J58" t="s">
        <v>234</v>
      </c>
      <c r="AR58">
        <v>2</v>
      </c>
      <c r="AS58" t="s">
        <v>2227</v>
      </c>
    </row>
    <row r="59" spans="1:45" x14ac:dyDescent="0.25">
      <c r="A59">
        <v>7</v>
      </c>
      <c r="B59" t="str">
        <f>VLOOKUP(A59,'model groups'!$A$3:$C$86,2,FALSE)</f>
        <v>pelagic piscivores</v>
      </c>
      <c r="C59" t="s">
        <v>242</v>
      </c>
      <c r="D59" t="s">
        <v>243</v>
      </c>
      <c r="E59" t="s">
        <v>243</v>
      </c>
      <c r="G59" t="s">
        <v>195</v>
      </c>
      <c r="H59" t="s">
        <v>196</v>
      </c>
      <c r="I59" t="s">
        <v>224</v>
      </c>
      <c r="J59" t="s">
        <v>244</v>
      </c>
      <c r="K59" t="s">
        <v>245</v>
      </c>
      <c r="L59">
        <v>0.29437353100000002</v>
      </c>
      <c r="M59">
        <v>5.4233257469999998</v>
      </c>
      <c r="N59">
        <v>186.41382479999999</v>
      </c>
      <c r="O59">
        <v>4.4866666669999997</v>
      </c>
      <c r="P59">
        <v>62.58</v>
      </c>
      <c r="Q59">
        <v>4.5150399999999999</v>
      </c>
      <c r="R59" t="s">
        <v>70</v>
      </c>
      <c r="S59" t="s">
        <v>77</v>
      </c>
      <c r="T59" t="str">
        <f t="shared" ref="T59:T83" si="3">IF(OR(AK59=1,AN59=1),"reef","no")</f>
        <v>no</v>
      </c>
      <c r="U59" s="1">
        <v>0.65366666824125341</v>
      </c>
      <c r="V59" s="1">
        <v>1.0666667128373339E-2</v>
      </c>
      <c r="W59" s="1">
        <v>0</v>
      </c>
      <c r="X59" s="1">
        <v>0</v>
      </c>
      <c r="Y59" s="1">
        <v>1.5333333175786666E-2</v>
      </c>
      <c r="Z59" s="1">
        <v>0</v>
      </c>
      <c r="AA59" s="1">
        <v>0.32033333145458665</v>
      </c>
      <c r="AB59" s="1">
        <v>0</v>
      </c>
      <c r="AC59">
        <v>0</v>
      </c>
      <c r="AD59">
        <v>0</v>
      </c>
      <c r="AE59">
        <v>0</v>
      </c>
      <c r="AF59">
        <v>1</v>
      </c>
      <c r="AG59">
        <v>0</v>
      </c>
      <c r="AH59">
        <v>0</v>
      </c>
      <c r="AI59">
        <v>0</v>
      </c>
      <c r="AJ59">
        <v>0</v>
      </c>
      <c r="AK59">
        <v>0</v>
      </c>
      <c r="AL59">
        <v>0</v>
      </c>
      <c r="AM59">
        <v>0</v>
      </c>
      <c r="AN59">
        <v>0</v>
      </c>
      <c r="AO59">
        <v>1</v>
      </c>
      <c r="AP59">
        <v>0</v>
      </c>
      <c r="AQ59">
        <v>1</v>
      </c>
      <c r="AR59">
        <v>2</v>
      </c>
      <c r="AS59" t="s">
        <v>2227</v>
      </c>
    </row>
    <row r="60" spans="1:45" x14ac:dyDescent="0.25">
      <c r="A60">
        <v>7</v>
      </c>
      <c r="B60" t="str">
        <f>VLOOKUP(A60,'model groups'!$A$3:$C$86,2,FALSE)</f>
        <v>pelagic piscivores</v>
      </c>
      <c r="D60" t="s">
        <v>246</v>
      </c>
      <c r="E60" t="s">
        <v>247</v>
      </c>
      <c r="G60" t="s">
        <v>195</v>
      </c>
      <c r="H60" t="s">
        <v>233</v>
      </c>
      <c r="I60" t="s">
        <v>224</v>
      </c>
      <c r="J60" t="s">
        <v>244</v>
      </c>
      <c r="T60" t="str">
        <f t="shared" si="3"/>
        <v>reef</v>
      </c>
      <c r="U60" s="1"/>
      <c r="V60" s="1"/>
      <c r="W60" s="1"/>
      <c r="X60" s="1"/>
      <c r="Y60" s="1"/>
      <c r="Z60" s="1"/>
      <c r="AA60" s="1"/>
      <c r="AB60" s="1"/>
      <c r="AG60">
        <v>0</v>
      </c>
      <c r="AH60">
        <v>0</v>
      </c>
      <c r="AI60">
        <v>0</v>
      </c>
      <c r="AJ60">
        <v>0</v>
      </c>
      <c r="AK60">
        <v>1</v>
      </c>
      <c r="AL60">
        <v>0</v>
      </c>
      <c r="AM60">
        <v>0</v>
      </c>
      <c r="AN60">
        <v>0</v>
      </c>
      <c r="AO60">
        <v>0</v>
      </c>
      <c r="AP60">
        <v>0</v>
      </c>
      <c r="AQ60">
        <v>0</v>
      </c>
      <c r="AR60">
        <v>2</v>
      </c>
      <c r="AS60" t="s">
        <v>2227</v>
      </c>
    </row>
    <row r="61" spans="1:45" x14ac:dyDescent="0.25">
      <c r="A61">
        <v>7</v>
      </c>
      <c r="B61" t="str">
        <f>VLOOKUP(A61,'model groups'!$A$3:$C$86,2,FALSE)</f>
        <v>pelagic piscivores</v>
      </c>
      <c r="C61" t="s">
        <v>248</v>
      </c>
      <c r="D61" t="s">
        <v>249</v>
      </c>
      <c r="E61" t="s">
        <v>249</v>
      </c>
      <c r="G61" t="s">
        <v>195</v>
      </c>
      <c r="H61" t="s">
        <v>196</v>
      </c>
      <c r="I61" t="s">
        <v>224</v>
      </c>
      <c r="J61" t="s">
        <v>250</v>
      </c>
      <c r="K61" t="s">
        <v>251</v>
      </c>
      <c r="L61">
        <v>0.44616540999999998</v>
      </c>
      <c r="M61">
        <v>5.6703789420000001</v>
      </c>
      <c r="N61">
        <v>178.8</v>
      </c>
      <c r="O61">
        <v>4.3766666670000003</v>
      </c>
      <c r="P61">
        <v>50.67</v>
      </c>
      <c r="Q61">
        <v>6.01356</v>
      </c>
      <c r="R61" t="s">
        <v>50</v>
      </c>
      <c r="S61" t="s">
        <v>51</v>
      </c>
      <c r="T61" t="str">
        <f t="shared" si="3"/>
        <v>no</v>
      </c>
      <c r="U61">
        <v>0.67299999958274004</v>
      </c>
      <c r="V61">
        <v>4.0400000184951997E-2</v>
      </c>
      <c r="W61">
        <v>0</v>
      </c>
      <c r="X61">
        <v>0</v>
      </c>
      <c r="Y61">
        <v>0.11989999952566199</v>
      </c>
      <c r="Z61">
        <v>0</v>
      </c>
      <c r="AA61">
        <v>2.8099999292578001E-2</v>
      </c>
      <c r="AB61">
        <v>0.138600001414068</v>
      </c>
      <c r="AC61">
        <v>0</v>
      </c>
      <c r="AD61">
        <v>0</v>
      </c>
      <c r="AE61" t="s">
        <v>231</v>
      </c>
      <c r="AF61" t="s">
        <v>231</v>
      </c>
      <c r="AG61">
        <v>0</v>
      </c>
      <c r="AH61">
        <v>0</v>
      </c>
      <c r="AI61">
        <v>0</v>
      </c>
      <c r="AJ61">
        <v>0</v>
      </c>
      <c r="AK61">
        <v>0</v>
      </c>
      <c r="AL61">
        <v>0</v>
      </c>
      <c r="AM61">
        <v>0</v>
      </c>
      <c r="AN61">
        <v>0</v>
      </c>
      <c r="AO61">
        <v>0</v>
      </c>
      <c r="AP61">
        <v>0</v>
      </c>
      <c r="AQ61">
        <v>1</v>
      </c>
      <c r="AR61">
        <v>2</v>
      </c>
      <c r="AS61" t="s">
        <v>2227</v>
      </c>
    </row>
    <row r="62" spans="1:45" x14ac:dyDescent="0.25">
      <c r="A62">
        <v>7</v>
      </c>
      <c r="B62" t="str">
        <f>VLOOKUP(A62,'model groups'!$A$3:$C$86,2,FALSE)</f>
        <v>pelagic piscivores</v>
      </c>
      <c r="C62" t="s">
        <v>252</v>
      </c>
      <c r="D62" t="s">
        <v>253</v>
      </c>
      <c r="E62" t="s">
        <v>253</v>
      </c>
      <c r="G62" t="s">
        <v>195</v>
      </c>
      <c r="H62" t="s">
        <v>196</v>
      </c>
      <c r="I62" t="s">
        <v>224</v>
      </c>
      <c r="J62" t="s">
        <v>250</v>
      </c>
      <c r="K62" t="s">
        <v>254</v>
      </c>
      <c r="L62">
        <v>0.61605523799999995</v>
      </c>
      <c r="M62">
        <v>9.1118088799999999</v>
      </c>
      <c r="N62">
        <v>78</v>
      </c>
      <c r="O62">
        <v>4.0599999840000001</v>
      </c>
      <c r="P62">
        <v>60.96</v>
      </c>
      <c r="Q62">
        <v>5.8081699999999996</v>
      </c>
      <c r="R62" t="s">
        <v>70</v>
      </c>
      <c r="S62" t="s">
        <v>51</v>
      </c>
      <c r="T62" t="str">
        <f t="shared" si="3"/>
        <v>no</v>
      </c>
      <c r="U62" s="1">
        <v>0.64333333082900002</v>
      </c>
      <c r="V62" s="1">
        <v>0.12966667066170007</v>
      </c>
      <c r="W62" s="1">
        <v>0</v>
      </c>
      <c r="X62" s="1">
        <v>0</v>
      </c>
      <c r="Y62" s="1">
        <v>0</v>
      </c>
      <c r="Z62" s="1">
        <v>0</v>
      </c>
      <c r="AA62" s="1">
        <v>0.22699999850929997</v>
      </c>
      <c r="AB62" s="1">
        <v>0</v>
      </c>
      <c r="AC62">
        <v>0</v>
      </c>
      <c r="AD62">
        <v>0</v>
      </c>
      <c r="AE62">
        <v>0</v>
      </c>
      <c r="AF62">
        <v>0</v>
      </c>
      <c r="AG62">
        <v>0</v>
      </c>
      <c r="AH62">
        <v>0</v>
      </c>
      <c r="AI62">
        <v>0</v>
      </c>
      <c r="AJ62">
        <v>0</v>
      </c>
      <c r="AK62">
        <v>0</v>
      </c>
      <c r="AL62">
        <v>0</v>
      </c>
      <c r="AM62">
        <v>0</v>
      </c>
      <c r="AN62">
        <v>0</v>
      </c>
      <c r="AO62">
        <v>1</v>
      </c>
      <c r="AP62">
        <v>0</v>
      </c>
      <c r="AQ62">
        <v>1</v>
      </c>
      <c r="AR62">
        <v>2</v>
      </c>
      <c r="AS62" t="s">
        <v>2227</v>
      </c>
    </row>
    <row r="63" spans="1:45" x14ac:dyDescent="0.25">
      <c r="A63">
        <v>7</v>
      </c>
      <c r="B63" t="str">
        <f>VLOOKUP(A63,'model groups'!$A$3:$C$86,2,FALSE)</f>
        <v>pelagic piscivores</v>
      </c>
      <c r="D63" t="s">
        <v>255</v>
      </c>
      <c r="E63" t="s">
        <v>256</v>
      </c>
      <c r="G63" t="s">
        <v>195</v>
      </c>
      <c r="H63" t="s">
        <v>196</v>
      </c>
      <c r="I63" t="s">
        <v>224</v>
      </c>
      <c r="T63" t="str">
        <f t="shared" si="3"/>
        <v>reef</v>
      </c>
      <c r="U63" s="1"/>
      <c r="V63" s="1"/>
      <c r="W63" s="1"/>
      <c r="X63" s="1"/>
      <c r="Y63" s="1"/>
      <c r="Z63" s="1"/>
      <c r="AA63" s="1"/>
      <c r="AB63" s="1"/>
      <c r="AG63">
        <v>0</v>
      </c>
      <c r="AH63">
        <v>0</v>
      </c>
      <c r="AI63">
        <v>0</v>
      </c>
      <c r="AJ63">
        <v>0</v>
      </c>
      <c r="AK63">
        <v>1</v>
      </c>
      <c r="AL63">
        <v>0</v>
      </c>
      <c r="AM63">
        <v>0</v>
      </c>
      <c r="AN63">
        <v>0</v>
      </c>
      <c r="AO63">
        <v>0</v>
      </c>
      <c r="AP63">
        <v>0</v>
      </c>
      <c r="AQ63">
        <v>0</v>
      </c>
      <c r="AR63">
        <v>2</v>
      </c>
      <c r="AS63" t="s">
        <v>2227</v>
      </c>
    </row>
    <row r="64" spans="1:45" x14ac:dyDescent="0.25">
      <c r="A64">
        <v>7</v>
      </c>
      <c r="B64" t="str">
        <f>VLOOKUP(A64,'model groups'!$A$3:$C$86,2,FALSE)</f>
        <v>pelagic piscivores</v>
      </c>
      <c r="D64" t="s">
        <v>257</v>
      </c>
      <c r="E64" t="s">
        <v>258</v>
      </c>
      <c r="G64" t="s">
        <v>195</v>
      </c>
      <c r="H64" t="s">
        <v>233</v>
      </c>
      <c r="I64" t="s">
        <v>224</v>
      </c>
      <c r="T64" t="str">
        <f t="shared" si="3"/>
        <v>reef</v>
      </c>
      <c r="U64" s="1"/>
      <c r="V64" s="1"/>
      <c r="W64" s="1"/>
      <c r="X64" s="1"/>
      <c r="Y64" s="1"/>
      <c r="Z64" s="1"/>
      <c r="AA64" s="1"/>
      <c r="AB64" s="1"/>
      <c r="AG64">
        <v>0</v>
      </c>
      <c r="AH64">
        <v>0</v>
      </c>
      <c r="AI64">
        <v>0</v>
      </c>
      <c r="AJ64">
        <v>0</v>
      </c>
      <c r="AK64">
        <v>1</v>
      </c>
      <c r="AL64">
        <v>0</v>
      </c>
      <c r="AM64">
        <v>0</v>
      </c>
      <c r="AN64">
        <v>0</v>
      </c>
      <c r="AO64">
        <v>0</v>
      </c>
      <c r="AP64">
        <v>0</v>
      </c>
      <c r="AQ64">
        <v>0</v>
      </c>
      <c r="AR64">
        <v>2</v>
      </c>
      <c r="AS64" t="s">
        <v>2227</v>
      </c>
    </row>
    <row r="65" spans="1:45" x14ac:dyDescent="0.25">
      <c r="A65">
        <v>7</v>
      </c>
      <c r="B65" t="str">
        <f>VLOOKUP(A65,'model groups'!$A$3:$C$86,2,FALSE)</f>
        <v>pelagic piscivores</v>
      </c>
      <c r="C65" t="s">
        <v>259</v>
      </c>
      <c r="D65" t="s">
        <v>260</v>
      </c>
      <c r="E65" t="s">
        <v>260</v>
      </c>
      <c r="G65" t="s">
        <v>195</v>
      </c>
      <c r="H65" t="s">
        <v>196</v>
      </c>
      <c r="I65" t="s">
        <v>261</v>
      </c>
      <c r="J65" t="s">
        <v>262</v>
      </c>
      <c r="K65" t="s">
        <v>263</v>
      </c>
      <c r="L65">
        <v>0.27825154499999999</v>
      </c>
      <c r="M65">
        <v>3.1764033039999999</v>
      </c>
      <c r="N65">
        <v>203.44340629999999</v>
      </c>
      <c r="O65">
        <v>4.4366666669999999</v>
      </c>
      <c r="P65">
        <v>78.569999999999993</v>
      </c>
      <c r="Q65">
        <v>2.4537100000000001</v>
      </c>
      <c r="R65" t="s">
        <v>50</v>
      </c>
      <c r="S65" t="s">
        <v>51</v>
      </c>
      <c r="T65" t="str">
        <f t="shared" si="3"/>
        <v>reef</v>
      </c>
      <c r="U65" s="1">
        <v>0.86636490515725362</v>
      </c>
      <c r="V65" s="1">
        <v>5.3055638172298789E-2</v>
      </c>
      <c r="W65" s="1">
        <v>0</v>
      </c>
      <c r="X65" s="1">
        <v>1.6668056038950549E-4</v>
      </c>
      <c r="Y65" s="1">
        <v>0</v>
      </c>
      <c r="Z65" s="1">
        <v>0</v>
      </c>
      <c r="AA65" s="1">
        <v>4.5003748804958131E-3</v>
      </c>
      <c r="AB65" s="1">
        <v>7.5912401229562304E-2</v>
      </c>
      <c r="AC65">
        <v>0</v>
      </c>
      <c r="AD65">
        <v>0</v>
      </c>
      <c r="AE65">
        <v>1</v>
      </c>
      <c r="AF65">
        <v>1</v>
      </c>
      <c r="AG65">
        <v>0</v>
      </c>
      <c r="AH65">
        <v>0</v>
      </c>
      <c r="AI65">
        <v>0</v>
      </c>
      <c r="AJ65">
        <v>1</v>
      </c>
      <c r="AK65">
        <v>1</v>
      </c>
      <c r="AL65">
        <v>0</v>
      </c>
      <c r="AM65">
        <v>0</v>
      </c>
      <c r="AN65">
        <v>0</v>
      </c>
      <c r="AO65">
        <v>1</v>
      </c>
      <c r="AP65">
        <v>0</v>
      </c>
      <c r="AQ65">
        <v>0</v>
      </c>
      <c r="AR65">
        <v>2</v>
      </c>
      <c r="AS65" t="s">
        <v>2227</v>
      </c>
    </row>
    <row r="66" spans="1:45" x14ac:dyDescent="0.25">
      <c r="A66">
        <v>7</v>
      </c>
      <c r="B66" t="str">
        <f>VLOOKUP(A66,'model groups'!$A$3:$C$86,2,FALSE)</f>
        <v>pelagic piscivores</v>
      </c>
      <c r="C66" t="s">
        <v>264</v>
      </c>
      <c r="D66" t="s">
        <v>265</v>
      </c>
      <c r="E66" t="s">
        <v>265</v>
      </c>
      <c r="G66" t="s">
        <v>195</v>
      </c>
      <c r="H66" t="s">
        <v>196</v>
      </c>
      <c r="I66" t="s">
        <v>261</v>
      </c>
      <c r="J66" t="s">
        <v>262</v>
      </c>
      <c r="K66" t="s">
        <v>266</v>
      </c>
      <c r="L66">
        <v>0.70654144799999996</v>
      </c>
      <c r="M66">
        <v>7.0731675134999996</v>
      </c>
      <c r="N66">
        <v>47.898287029999999</v>
      </c>
      <c r="O66">
        <v>4.2972222220000003</v>
      </c>
      <c r="P66">
        <v>33.14</v>
      </c>
      <c r="Q66">
        <v>1.7348300000000001</v>
      </c>
      <c r="R66" t="s">
        <v>70</v>
      </c>
      <c r="S66" t="s">
        <v>77</v>
      </c>
      <c r="T66" t="str">
        <f t="shared" si="3"/>
        <v>no</v>
      </c>
      <c r="U66" s="1">
        <v>0.71993890083954426</v>
      </c>
      <c r="V66" s="1">
        <v>1.8467277434748741E-2</v>
      </c>
      <c r="W66" s="1">
        <v>1.31668131227739E-2</v>
      </c>
      <c r="X66" s="1">
        <v>2.0555784789569177E-3</v>
      </c>
      <c r="Y66" s="1">
        <v>2.9833664173489208E-2</v>
      </c>
      <c r="Z66" s="1">
        <v>0</v>
      </c>
      <c r="AA66" s="1">
        <v>0.1896354420262984</v>
      </c>
      <c r="AB66" s="1">
        <v>2.6902323924188471E-2</v>
      </c>
      <c r="AC66">
        <v>1</v>
      </c>
      <c r="AD66">
        <v>1</v>
      </c>
      <c r="AE66">
        <v>1</v>
      </c>
      <c r="AF66">
        <v>1</v>
      </c>
      <c r="AG66">
        <v>0</v>
      </c>
      <c r="AH66">
        <v>0</v>
      </c>
      <c r="AI66">
        <v>0</v>
      </c>
      <c r="AJ66">
        <v>0</v>
      </c>
      <c r="AK66">
        <v>0</v>
      </c>
      <c r="AL66">
        <v>0</v>
      </c>
      <c r="AM66">
        <v>1</v>
      </c>
      <c r="AN66">
        <v>0</v>
      </c>
      <c r="AO66">
        <v>0</v>
      </c>
      <c r="AP66">
        <v>0</v>
      </c>
      <c r="AQ66">
        <v>0</v>
      </c>
      <c r="AR66">
        <v>2</v>
      </c>
      <c r="AS66" t="s">
        <v>2227</v>
      </c>
    </row>
    <row r="67" spans="1:45" x14ac:dyDescent="0.25">
      <c r="A67">
        <v>7</v>
      </c>
      <c r="B67" t="str">
        <f>VLOOKUP(A67,'model groups'!$A$3:$C$86,2,FALSE)</f>
        <v>pelagic piscivores</v>
      </c>
      <c r="C67" t="s">
        <v>267</v>
      </c>
      <c r="D67" t="s">
        <v>268</v>
      </c>
      <c r="E67" t="s">
        <v>268</v>
      </c>
      <c r="G67" t="s">
        <v>195</v>
      </c>
      <c r="H67" t="s">
        <v>196</v>
      </c>
      <c r="I67" t="s">
        <v>261</v>
      </c>
      <c r="J67" t="s">
        <v>262</v>
      </c>
      <c r="K67" t="s">
        <v>269</v>
      </c>
      <c r="L67">
        <v>0.27825154499999999</v>
      </c>
      <c r="M67">
        <v>3.5741051315000001</v>
      </c>
      <c r="N67">
        <v>203.44340629999999</v>
      </c>
      <c r="O67">
        <v>4.22</v>
      </c>
      <c r="P67">
        <v>79.239999999999995</v>
      </c>
      <c r="Q67">
        <v>2.1864699999999999</v>
      </c>
      <c r="R67" t="s">
        <v>50</v>
      </c>
      <c r="S67" t="s">
        <v>51</v>
      </c>
      <c r="T67" t="str">
        <f t="shared" si="3"/>
        <v>no</v>
      </c>
      <c r="U67" s="1">
        <v>0.63646817571363323</v>
      </c>
      <c r="V67" s="1">
        <v>2.3498824889433994E-3</v>
      </c>
      <c r="W67" s="1">
        <v>3.9498025462207716E-2</v>
      </c>
      <c r="X67" s="1">
        <v>0</v>
      </c>
      <c r="Y67" s="1">
        <v>0</v>
      </c>
      <c r="Z67" s="1">
        <v>0</v>
      </c>
      <c r="AA67" s="1">
        <v>0.32088395635557454</v>
      </c>
      <c r="AB67" s="1">
        <v>7.9995997964113605E-4</v>
      </c>
      <c r="AC67">
        <v>1</v>
      </c>
      <c r="AD67">
        <v>0</v>
      </c>
      <c r="AE67">
        <v>0</v>
      </c>
      <c r="AF67">
        <v>0</v>
      </c>
      <c r="AG67">
        <v>0</v>
      </c>
      <c r="AH67">
        <v>0</v>
      </c>
      <c r="AI67">
        <v>0</v>
      </c>
      <c r="AJ67">
        <v>0</v>
      </c>
      <c r="AK67">
        <v>0</v>
      </c>
      <c r="AL67">
        <v>0</v>
      </c>
      <c r="AM67">
        <v>1</v>
      </c>
      <c r="AN67">
        <v>0</v>
      </c>
      <c r="AO67">
        <v>0</v>
      </c>
      <c r="AP67">
        <v>0</v>
      </c>
      <c r="AQ67">
        <v>0</v>
      </c>
      <c r="AR67">
        <v>2</v>
      </c>
      <c r="AS67" t="s">
        <v>2227</v>
      </c>
    </row>
    <row r="68" spans="1:45" x14ac:dyDescent="0.25">
      <c r="A68">
        <v>7</v>
      </c>
      <c r="B68" t="str">
        <f>VLOOKUP(A68,'model groups'!$A$3:$C$86,2,FALSE)</f>
        <v>pelagic piscivores</v>
      </c>
      <c r="C68" t="s">
        <v>270</v>
      </c>
      <c r="D68" t="s">
        <v>271</v>
      </c>
      <c r="E68" t="s">
        <v>271</v>
      </c>
      <c r="G68" t="s">
        <v>195</v>
      </c>
      <c r="H68" t="s">
        <v>196</v>
      </c>
      <c r="I68" t="s">
        <v>272</v>
      </c>
      <c r="J68" t="s">
        <v>273</v>
      </c>
      <c r="K68" t="s">
        <v>274</v>
      </c>
      <c r="L68">
        <v>0.29910644800000002</v>
      </c>
      <c r="M68">
        <v>6.0547461494999997</v>
      </c>
      <c r="N68">
        <v>234</v>
      </c>
      <c r="O68">
        <v>4.4950000000000001</v>
      </c>
      <c r="P68">
        <v>71.959999999999994</v>
      </c>
      <c r="Q68">
        <v>7.0524149999999999</v>
      </c>
      <c r="R68" t="s">
        <v>70</v>
      </c>
      <c r="S68" t="s">
        <v>51</v>
      </c>
      <c r="T68" t="str">
        <f t="shared" si="3"/>
        <v>no</v>
      </c>
      <c r="U68">
        <v>0.70958419246139004</v>
      </c>
      <c r="V68">
        <v>3.87007741651723E-3</v>
      </c>
      <c r="W68">
        <v>1.00001999909996E-4</v>
      </c>
      <c r="X68">
        <v>0</v>
      </c>
      <c r="Y68">
        <v>0.191643833927542</v>
      </c>
      <c r="Z68">
        <v>0</v>
      </c>
      <c r="AA68">
        <v>9.2201842296983499E-2</v>
      </c>
      <c r="AB68">
        <v>2.6000518976578898E-3</v>
      </c>
      <c r="AC68">
        <v>0</v>
      </c>
      <c r="AD68">
        <v>0</v>
      </c>
      <c r="AE68" t="s">
        <v>231</v>
      </c>
      <c r="AF68" t="s">
        <v>231</v>
      </c>
      <c r="AG68">
        <v>0</v>
      </c>
      <c r="AH68">
        <v>0</v>
      </c>
      <c r="AI68">
        <v>0</v>
      </c>
      <c r="AJ68">
        <v>0</v>
      </c>
      <c r="AK68">
        <v>0</v>
      </c>
      <c r="AL68">
        <v>0</v>
      </c>
      <c r="AM68">
        <v>0</v>
      </c>
      <c r="AN68">
        <v>0</v>
      </c>
      <c r="AO68">
        <v>0</v>
      </c>
      <c r="AP68">
        <v>0</v>
      </c>
      <c r="AQ68">
        <v>1</v>
      </c>
      <c r="AR68">
        <v>2</v>
      </c>
      <c r="AS68" t="s">
        <v>2227</v>
      </c>
    </row>
    <row r="69" spans="1:45" x14ac:dyDescent="0.25">
      <c r="A69">
        <v>8</v>
      </c>
      <c r="B69" t="str">
        <f>VLOOKUP(A69,'model groups'!$A$3:$C$86,2,FALSE)</f>
        <v>king mackerel juv</v>
      </c>
      <c r="C69" t="s">
        <v>275</v>
      </c>
      <c r="D69" t="s">
        <v>276</v>
      </c>
      <c r="E69" t="s">
        <v>276</v>
      </c>
      <c r="F69" t="s">
        <v>277</v>
      </c>
      <c r="G69" t="s">
        <v>195</v>
      </c>
      <c r="H69" t="s">
        <v>196</v>
      </c>
      <c r="I69" t="s">
        <v>224</v>
      </c>
      <c r="J69" t="s">
        <v>244</v>
      </c>
      <c r="K69" s="5" t="s">
        <v>278</v>
      </c>
      <c r="L69">
        <v>0.39627078999999998</v>
      </c>
      <c r="M69">
        <v>8.4022830225000007</v>
      </c>
      <c r="N69">
        <v>119.48</v>
      </c>
      <c r="O69">
        <v>4.443333333</v>
      </c>
      <c r="P69">
        <v>57.83</v>
      </c>
      <c r="Q69">
        <v>5.8150599999999999</v>
      </c>
      <c r="R69" t="s">
        <v>70</v>
      </c>
      <c r="S69" t="s">
        <v>51</v>
      </c>
      <c r="T69" t="str">
        <f t="shared" si="3"/>
        <v>reef</v>
      </c>
      <c r="U69" s="1">
        <v>0.94260000079330397</v>
      </c>
      <c r="V69" s="1">
        <v>0</v>
      </c>
      <c r="W69" s="1">
        <v>0</v>
      </c>
      <c r="X69" s="1">
        <v>0</v>
      </c>
      <c r="Y69" s="1">
        <v>5.7199999205487989E-2</v>
      </c>
      <c r="Z69" s="1">
        <v>0</v>
      </c>
      <c r="AA69" s="1">
        <v>2.0000000120799999E-4</v>
      </c>
      <c r="AB69" s="1">
        <v>0</v>
      </c>
      <c r="AC69">
        <v>0</v>
      </c>
      <c r="AD69">
        <v>1</v>
      </c>
      <c r="AE69">
        <v>0</v>
      </c>
      <c r="AF69">
        <v>1</v>
      </c>
      <c r="AG69">
        <v>0</v>
      </c>
      <c r="AH69">
        <v>0</v>
      </c>
      <c r="AI69">
        <v>0</v>
      </c>
      <c r="AJ69">
        <v>0</v>
      </c>
      <c r="AK69">
        <v>0</v>
      </c>
      <c r="AL69">
        <v>0</v>
      </c>
      <c r="AM69">
        <v>1</v>
      </c>
      <c r="AN69">
        <v>1</v>
      </c>
      <c r="AO69">
        <v>1</v>
      </c>
      <c r="AP69">
        <v>0</v>
      </c>
      <c r="AQ69">
        <v>1</v>
      </c>
      <c r="AR69">
        <v>2</v>
      </c>
      <c r="AS69" t="s">
        <v>2227</v>
      </c>
    </row>
    <row r="70" spans="1:45" x14ac:dyDescent="0.25">
      <c r="A70">
        <v>9</v>
      </c>
      <c r="B70" t="str">
        <f>VLOOKUP(A70,'model groups'!$A$3:$C$86,2,FALSE)</f>
        <v>king mackerel adult</v>
      </c>
      <c r="C70" t="s">
        <v>275</v>
      </c>
      <c r="D70" t="s">
        <v>276</v>
      </c>
      <c r="E70" t="s">
        <v>276</v>
      </c>
      <c r="F70" t="s">
        <v>277</v>
      </c>
      <c r="G70" t="s">
        <v>195</v>
      </c>
      <c r="H70" t="s">
        <v>196</v>
      </c>
      <c r="I70" t="s">
        <v>224</v>
      </c>
      <c r="J70" t="s">
        <v>244</v>
      </c>
      <c r="K70" s="5" t="s">
        <v>278</v>
      </c>
      <c r="L70">
        <v>0.39627078999999998</v>
      </c>
      <c r="M70">
        <v>8.4022830225000007</v>
      </c>
      <c r="N70">
        <v>119.48</v>
      </c>
      <c r="O70">
        <v>4.443333333</v>
      </c>
      <c r="P70">
        <v>57.83</v>
      </c>
      <c r="Q70">
        <v>5.8150599999999999</v>
      </c>
      <c r="R70" t="s">
        <v>70</v>
      </c>
      <c r="S70" t="s">
        <v>51</v>
      </c>
      <c r="T70" t="str">
        <f t="shared" si="3"/>
        <v>reef</v>
      </c>
      <c r="U70" s="1">
        <v>0.94260000079330397</v>
      </c>
      <c r="V70" s="1">
        <v>0</v>
      </c>
      <c r="W70" s="1">
        <v>0</v>
      </c>
      <c r="X70" s="1">
        <v>0</v>
      </c>
      <c r="Y70" s="1">
        <v>5.7199999205487989E-2</v>
      </c>
      <c r="Z70" s="1">
        <v>0</v>
      </c>
      <c r="AA70" s="1">
        <v>2.0000000120799999E-4</v>
      </c>
      <c r="AB70" s="1">
        <v>0</v>
      </c>
      <c r="AC70">
        <v>0</v>
      </c>
      <c r="AD70">
        <v>1</v>
      </c>
      <c r="AE70">
        <v>0</v>
      </c>
      <c r="AF70">
        <v>1</v>
      </c>
      <c r="AG70">
        <v>0</v>
      </c>
      <c r="AH70">
        <v>0</v>
      </c>
      <c r="AI70">
        <v>0</v>
      </c>
      <c r="AJ70">
        <v>0</v>
      </c>
      <c r="AK70">
        <v>0</v>
      </c>
      <c r="AL70">
        <v>0</v>
      </c>
      <c r="AM70">
        <v>1</v>
      </c>
      <c r="AN70">
        <v>1</v>
      </c>
      <c r="AO70">
        <v>1</v>
      </c>
      <c r="AP70">
        <v>0</v>
      </c>
      <c r="AQ70">
        <v>1</v>
      </c>
      <c r="AR70">
        <v>2</v>
      </c>
      <c r="AS70" t="s">
        <v>2227</v>
      </c>
    </row>
    <row r="71" spans="1:45" x14ac:dyDescent="0.25">
      <c r="A71">
        <v>10</v>
      </c>
      <c r="B71" t="str">
        <f>VLOOKUP(A71,'model groups'!$A$3:$C$86,2,FALSE)</f>
        <v>Spanish mackerel juv</v>
      </c>
      <c r="C71" t="s">
        <v>279</v>
      </c>
      <c r="D71" t="s">
        <v>280</v>
      </c>
      <c r="E71" t="s">
        <v>280</v>
      </c>
      <c r="F71" t="s">
        <v>281</v>
      </c>
      <c r="G71" t="s">
        <v>195</v>
      </c>
      <c r="H71" t="s">
        <v>196</v>
      </c>
      <c r="I71" t="s">
        <v>224</v>
      </c>
      <c r="J71" t="s">
        <v>244</v>
      </c>
      <c r="K71" s="5" t="s">
        <v>282</v>
      </c>
      <c r="L71">
        <v>0.61440007100000005</v>
      </c>
      <c r="M71">
        <v>8.0161823015000007</v>
      </c>
      <c r="N71">
        <v>75.459999999999994</v>
      </c>
      <c r="O71">
        <v>4.4333333330000002</v>
      </c>
      <c r="P71">
        <v>39.270000000000003</v>
      </c>
      <c r="Q71">
        <v>4.0011000000000001</v>
      </c>
      <c r="R71" t="s">
        <v>70</v>
      </c>
      <c r="S71" t="s">
        <v>51</v>
      </c>
      <c r="T71" t="str">
        <f t="shared" si="3"/>
        <v>no</v>
      </c>
      <c r="U71" s="1">
        <v>0.93433333313107003</v>
      </c>
      <c r="V71" s="1">
        <v>3.00000001721E-3</v>
      </c>
      <c r="W71" s="1">
        <v>2.0000000781400002E-3</v>
      </c>
      <c r="X71" s="1">
        <v>0</v>
      </c>
      <c r="Y71" s="1">
        <v>2.0000000781400002E-3</v>
      </c>
      <c r="Z71" s="1">
        <v>0</v>
      </c>
      <c r="AA71" s="1">
        <v>5.8666666695440003E-2</v>
      </c>
      <c r="AB71" s="1">
        <v>0</v>
      </c>
      <c r="AC71">
        <v>0</v>
      </c>
      <c r="AD71">
        <v>0</v>
      </c>
      <c r="AE71">
        <v>0</v>
      </c>
      <c r="AF71">
        <v>0</v>
      </c>
      <c r="AG71">
        <v>0</v>
      </c>
      <c r="AH71">
        <v>0</v>
      </c>
      <c r="AI71">
        <v>0</v>
      </c>
      <c r="AJ71">
        <v>0</v>
      </c>
      <c r="AK71">
        <v>0</v>
      </c>
      <c r="AL71">
        <v>0</v>
      </c>
      <c r="AM71">
        <v>1</v>
      </c>
      <c r="AN71">
        <v>0</v>
      </c>
      <c r="AO71">
        <v>1</v>
      </c>
      <c r="AP71">
        <v>0</v>
      </c>
      <c r="AQ71">
        <v>1</v>
      </c>
      <c r="AR71">
        <v>2</v>
      </c>
      <c r="AS71" t="s">
        <v>2227</v>
      </c>
    </row>
    <row r="72" spans="1:45" x14ac:dyDescent="0.25">
      <c r="A72">
        <v>11</v>
      </c>
      <c r="B72" t="str">
        <f>VLOOKUP(A72,'model groups'!$A$3:$C$86,2,FALSE)</f>
        <v>Spanish mackerel adult</v>
      </c>
      <c r="C72" t="s">
        <v>279</v>
      </c>
      <c r="D72" t="s">
        <v>280</v>
      </c>
      <c r="E72" t="s">
        <v>280</v>
      </c>
      <c r="F72" t="s">
        <v>281</v>
      </c>
      <c r="G72" t="s">
        <v>195</v>
      </c>
      <c r="H72" t="s">
        <v>196</v>
      </c>
      <c r="I72" t="s">
        <v>224</v>
      </c>
      <c r="J72" t="s">
        <v>244</v>
      </c>
      <c r="K72" s="5" t="s">
        <v>282</v>
      </c>
      <c r="L72">
        <v>0.61440007100000005</v>
      </c>
      <c r="M72">
        <v>8.0161823015000007</v>
      </c>
      <c r="N72">
        <v>75.459999999999994</v>
      </c>
      <c r="O72">
        <v>4.4333333330000002</v>
      </c>
      <c r="P72">
        <v>39.270000000000003</v>
      </c>
      <c r="Q72">
        <v>4.0011000000000001</v>
      </c>
      <c r="R72" t="s">
        <v>70</v>
      </c>
      <c r="S72" t="s">
        <v>51</v>
      </c>
      <c r="T72" t="str">
        <f t="shared" si="3"/>
        <v>no</v>
      </c>
      <c r="U72" s="1">
        <v>0.93433333313107003</v>
      </c>
      <c r="V72" s="1">
        <v>3.00000001721E-3</v>
      </c>
      <c r="W72" s="1">
        <v>2.0000000781400002E-3</v>
      </c>
      <c r="X72" s="1">
        <v>0</v>
      </c>
      <c r="Y72" s="1">
        <v>2.0000000781400002E-3</v>
      </c>
      <c r="Z72" s="1">
        <v>0</v>
      </c>
      <c r="AA72" s="1">
        <v>5.8666666695440003E-2</v>
      </c>
      <c r="AB72" s="1">
        <v>0</v>
      </c>
      <c r="AC72">
        <v>0</v>
      </c>
      <c r="AD72">
        <v>0</v>
      </c>
      <c r="AE72">
        <v>0</v>
      </c>
      <c r="AF72">
        <v>0</v>
      </c>
      <c r="AG72">
        <v>0</v>
      </c>
      <c r="AH72">
        <v>0</v>
      </c>
      <c r="AI72">
        <v>0</v>
      </c>
      <c r="AJ72">
        <v>0</v>
      </c>
      <c r="AK72">
        <v>0</v>
      </c>
      <c r="AL72">
        <v>0</v>
      </c>
      <c r="AM72">
        <v>1</v>
      </c>
      <c r="AN72">
        <v>0</v>
      </c>
      <c r="AO72">
        <v>1</v>
      </c>
      <c r="AP72">
        <v>0</v>
      </c>
      <c r="AQ72">
        <v>1</v>
      </c>
      <c r="AR72">
        <v>2</v>
      </c>
      <c r="AS72" t="s">
        <v>2227</v>
      </c>
    </row>
    <row r="73" spans="1:45" x14ac:dyDescent="0.25">
      <c r="A73">
        <v>12</v>
      </c>
      <c r="B73" t="str">
        <f>VLOOKUP(A73,'model groups'!$A$3:$C$86,2,FALSE)</f>
        <v>cobia</v>
      </c>
      <c r="C73" t="s">
        <v>283</v>
      </c>
      <c r="D73" t="s">
        <v>284</v>
      </c>
      <c r="E73" t="s">
        <v>284</v>
      </c>
      <c r="F73" t="s">
        <v>285</v>
      </c>
      <c r="G73" t="s">
        <v>195</v>
      </c>
      <c r="H73" t="s">
        <v>196</v>
      </c>
      <c r="I73" t="s">
        <v>286</v>
      </c>
      <c r="J73" t="s">
        <v>287</v>
      </c>
      <c r="K73" t="s">
        <v>288</v>
      </c>
      <c r="L73">
        <v>0.37024195300000001</v>
      </c>
      <c r="M73">
        <v>2.6872731435000001</v>
      </c>
      <c r="N73">
        <v>148.33333329999999</v>
      </c>
      <c r="O73">
        <v>4.0366666670000004</v>
      </c>
      <c r="P73">
        <v>43.68</v>
      </c>
      <c r="Q73">
        <v>0.98747600000000002</v>
      </c>
      <c r="R73" t="s">
        <v>50</v>
      </c>
      <c r="S73" t="s">
        <v>51</v>
      </c>
      <c r="T73" t="str">
        <f t="shared" si="3"/>
        <v>reef</v>
      </c>
      <c r="U73" s="1">
        <v>0.66269325409881263</v>
      </c>
      <c r="V73" s="1">
        <v>0.23874477597164498</v>
      </c>
      <c r="W73" s="1">
        <v>6.6001319019780265E-3</v>
      </c>
      <c r="X73" s="1">
        <v>0</v>
      </c>
      <c r="Y73" s="1">
        <v>9.1761834027504374E-2</v>
      </c>
      <c r="Z73" s="1">
        <v>0</v>
      </c>
      <c r="AA73" s="1">
        <v>2.000040000600008E-4</v>
      </c>
      <c r="AB73" s="1">
        <v>0</v>
      </c>
      <c r="AC73">
        <v>1</v>
      </c>
      <c r="AD73">
        <v>1</v>
      </c>
      <c r="AE73">
        <v>0</v>
      </c>
      <c r="AF73">
        <v>1</v>
      </c>
      <c r="AG73">
        <v>0</v>
      </c>
      <c r="AH73">
        <v>1</v>
      </c>
      <c r="AI73">
        <v>0</v>
      </c>
      <c r="AJ73">
        <v>0</v>
      </c>
      <c r="AK73">
        <v>0</v>
      </c>
      <c r="AL73">
        <v>0</v>
      </c>
      <c r="AM73">
        <v>1</v>
      </c>
      <c r="AN73">
        <v>1</v>
      </c>
      <c r="AO73">
        <v>1</v>
      </c>
      <c r="AP73">
        <v>0</v>
      </c>
      <c r="AQ73">
        <v>1</v>
      </c>
      <c r="AR73">
        <v>0</v>
      </c>
      <c r="AS73" t="s">
        <v>2600</v>
      </c>
    </row>
    <row r="74" spans="1:45" x14ac:dyDescent="0.25">
      <c r="A74">
        <v>13</v>
      </c>
      <c r="B74" t="str">
        <f>VLOOKUP(A74,'model groups'!$A$3:$C$86,2,FALSE)</f>
        <v>greater amberjack</v>
      </c>
      <c r="C74" t="s">
        <v>289</v>
      </c>
      <c r="D74" t="s">
        <v>290</v>
      </c>
      <c r="E74" t="s">
        <v>290</v>
      </c>
      <c r="F74" t="s">
        <v>291</v>
      </c>
      <c r="G74" t="s">
        <v>195</v>
      </c>
      <c r="H74" t="s">
        <v>196</v>
      </c>
      <c r="I74" t="s">
        <v>197</v>
      </c>
      <c r="J74" t="s">
        <v>202</v>
      </c>
      <c r="K74" t="s">
        <v>292</v>
      </c>
      <c r="L74">
        <v>0.380940954</v>
      </c>
      <c r="M74">
        <v>3.8494846005000003</v>
      </c>
      <c r="N74">
        <v>151.1500025</v>
      </c>
      <c r="O74">
        <v>4.306666667</v>
      </c>
      <c r="P74">
        <v>53.95</v>
      </c>
      <c r="Q74">
        <v>2.8315700000000001</v>
      </c>
      <c r="R74" t="s">
        <v>70</v>
      </c>
      <c r="S74" t="s">
        <v>51</v>
      </c>
      <c r="T74" t="str">
        <f t="shared" si="3"/>
        <v>reef</v>
      </c>
      <c r="U74" s="1">
        <v>0.83290908926963647</v>
      </c>
      <c r="V74" s="1">
        <v>0.10281818408027271</v>
      </c>
      <c r="W74" s="1">
        <v>0</v>
      </c>
      <c r="X74" s="1">
        <v>0</v>
      </c>
      <c r="Y74" s="1">
        <v>0</v>
      </c>
      <c r="Z74" s="1">
        <v>0</v>
      </c>
      <c r="AA74" s="1">
        <v>6.4272726650090914E-2</v>
      </c>
      <c r="AB74" s="1">
        <v>0</v>
      </c>
      <c r="AC74">
        <v>0</v>
      </c>
      <c r="AD74">
        <v>0</v>
      </c>
      <c r="AE74">
        <v>0</v>
      </c>
      <c r="AF74">
        <v>1</v>
      </c>
      <c r="AG74">
        <v>0</v>
      </c>
      <c r="AH74">
        <v>0</v>
      </c>
      <c r="AI74">
        <v>0</v>
      </c>
      <c r="AJ74">
        <v>0</v>
      </c>
      <c r="AK74">
        <v>1</v>
      </c>
      <c r="AL74">
        <v>0</v>
      </c>
      <c r="AM74">
        <v>0</v>
      </c>
      <c r="AN74">
        <v>1</v>
      </c>
      <c r="AO74">
        <v>1</v>
      </c>
      <c r="AP74">
        <v>0</v>
      </c>
      <c r="AQ74">
        <v>1</v>
      </c>
      <c r="AR74">
        <v>16</v>
      </c>
      <c r="AS74" t="s">
        <v>2592</v>
      </c>
    </row>
    <row r="75" spans="1:45" x14ac:dyDescent="0.25">
      <c r="A75">
        <v>14</v>
      </c>
      <c r="B75" t="str">
        <f>VLOOKUP(A75,'model groups'!$A$3:$C$86,2,FALSE)</f>
        <v>red snapper 0</v>
      </c>
      <c r="C75" t="s">
        <v>293</v>
      </c>
      <c r="D75" t="s">
        <v>294</v>
      </c>
      <c r="E75" t="s">
        <v>294</v>
      </c>
      <c r="F75" t="s">
        <v>295</v>
      </c>
      <c r="G75" t="s">
        <v>195</v>
      </c>
      <c r="H75" t="s">
        <v>196</v>
      </c>
      <c r="I75" t="s">
        <v>296</v>
      </c>
      <c r="J75" t="s">
        <v>297</v>
      </c>
      <c r="K75" t="s">
        <v>298</v>
      </c>
      <c r="L75">
        <v>0.35155929400000002</v>
      </c>
      <c r="M75">
        <v>4.1964341889999996</v>
      </c>
      <c r="N75">
        <v>92.352941180000002</v>
      </c>
      <c r="O75">
        <v>3.92</v>
      </c>
      <c r="P75">
        <v>55.11</v>
      </c>
      <c r="Q75">
        <v>1.43242</v>
      </c>
      <c r="R75" t="s">
        <v>70</v>
      </c>
      <c r="S75" t="s">
        <v>77</v>
      </c>
      <c r="T75" t="str">
        <f t="shared" si="3"/>
        <v>reef</v>
      </c>
      <c r="U75" s="1">
        <v>0.445016480574149</v>
      </c>
      <c r="V75" s="1">
        <v>0.44280409900316925</v>
      </c>
      <c r="W75" s="1">
        <v>5.2176058774916302E-2</v>
      </c>
      <c r="X75" s="1">
        <v>3.6319894627589336E-3</v>
      </c>
      <c r="Y75" s="1">
        <v>1.2701279088762425E-3</v>
      </c>
      <c r="Z75" s="1">
        <v>0</v>
      </c>
      <c r="AA75" s="1">
        <v>5.3888530876490155E-2</v>
      </c>
      <c r="AB75" s="1">
        <v>1.212713399640119E-3</v>
      </c>
      <c r="AC75">
        <v>1</v>
      </c>
      <c r="AD75">
        <v>1</v>
      </c>
      <c r="AE75">
        <v>0</v>
      </c>
      <c r="AF75">
        <v>1</v>
      </c>
      <c r="AG75">
        <v>1</v>
      </c>
      <c r="AH75">
        <v>1</v>
      </c>
      <c r="AI75">
        <v>1</v>
      </c>
      <c r="AJ75">
        <v>1</v>
      </c>
      <c r="AK75">
        <v>1</v>
      </c>
      <c r="AL75">
        <v>0</v>
      </c>
      <c r="AM75">
        <v>0</v>
      </c>
      <c r="AN75">
        <v>1</v>
      </c>
      <c r="AO75">
        <v>1</v>
      </c>
      <c r="AP75">
        <v>1</v>
      </c>
      <c r="AQ75">
        <v>1</v>
      </c>
      <c r="AR75">
        <v>3</v>
      </c>
      <c r="AS75" t="s">
        <v>2593</v>
      </c>
    </row>
    <row r="76" spans="1:45" x14ac:dyDescent="0.25">
      <c r="A76">
        <v>15</v>
      </c>
      <c r="B76" t="str">
        <f>VLOOKUP(A76,'model groups'!$A$3:$C$86,2,FALSE)</f>
        <v>red snapper 1-2</v>
      </c>
      <c r="C76" t="s">
        <v>293</v>
      </c>
      <c r="D76" t="s">
        <v>294</v>
      </c>
      <c r="E76" t="s">
        <v>294</v>
      </c>
      <c r="F76" t="s">
        <v>295</v>
      </c>
      <c r="G76" t="s">
        <v>195</v>
      </c>
      <c r="H76" t="s">
        <v>196</v>
      </c>
      <c r="I76" t="s">
        <v>296</v>
      </c>
      <c r="J76" t="s">
        <v>297</v>
      </c>
      <c r="K76" t="s">
        <v>298</v>
      </c>
      <c r="L76">
        <v>0.35155929400000002</v>
      </c>
      <c r="M76">
        <v>4.1964341889999996</v>
      </c>
      <c r="N76">
        <v>92.352941180000002</v>
      </c>
      <c r="O76">
        <v>3.92</v>
      </c>
      <c r="P76">
        <v>55.11</v>
      </c>
      <c r="Q76">
        <v>1.43242</v>
      </c>
      <c r="R76" t="s">
        <v>70</v>
      </c>
      <c r="S76" t="s">
        <v>77</v>
      </c>
      <c r="T76" t="str">
        <f t="shared" si="3"/>
        <v>reef</v>
      </c>
      <c r="U76" s="1">
        <v>0.445016480574149</v>
      </c>
      <c r="V76" s="1">
        <v>0.44280409900316925</v>
      </c>
      <c r="W76" s="1">
        <v>5.2176058774916302E-2</v>
      </c>
      <c r="X76" s="1">
        <v>3.6319894627589336E-3</v>
      </c>
      <c r="Y76" s="1">
        <v>1.2701279088762425E-3</v>
      </c>
      <c r="Z76" s="1">
        <v>0</v>
      </c>
      <c r="AA76" s="1">
        <v>5.3888530876490155E-2</v>
      </c>
      <c r="AB76" s="1">
        <v>1.212713399640119E-3</v>
      </c>
      <c r="AC76">
        <v>1</v>
      </c>
      <c r="AD76">
        <v>1</v>
      </c>
      <c r="AE76">
        <v>0</v>
      </c>
      <c r="AF76">
        <v>1</v>
      </c>
      <c r="AG76">
        <v>1</v>
      </c>
      <c r="AH76">
        <v>1</v>
      </c>
      <c r="AI76">
        <v>1</v>
      </c>
      <c r="AJ76">
        <v>1</v>
      </c>
      <c r="AK76">
        <v>1</v>
      </c>
      <c r="AL76">
        <v>0</v>
      </c>
      <c r="AM76">
        <v>0</v>
      </c>
      <c r="AN76">
        <v>1</v>
      </c>
      <c r="AO76">
        <v>1</v>
      </c>
      <c r="AP76">
        <v>1</v>
      </c>
      <c r="AQ76">
        <v>1</v>
      </c>
      <c r="AR76">
        <v>3</v>
      </c>
      <c r="AS76" t="s">
        <v>2593</v>
      </c>
    </row>
    <row r="77" spans="1:45" x14ac:dyDescent="0.25">
      <c r="A77">
        <v>16</v>
      </c>
      <c r="B77" t="str">
        <f>VLOOKUP(A77,'model groups'!$A$3:$C$86,2,FALSE)</f>
        <v>red snapper 3+</v>
      </c>
      <c r="C77" t="s">
        <v>293</v>
      </c>
      <c r="D77" t="s">
        <v>294</v>
      </c>
      <c r="E77" t="s">
        <v>294</v>
      </c>
      <c r="F77" t="s">
        <v>295</v>
      </c>
      <c r="G77" t="s">
        <v>195</v>
      </c>
      <c r="H77" t="s">
        <v>196</v>
      </c>
      <c r="I77" t="s">
        <v>296</v>
      </c>
      <c r="J77" t="s">
        <v>297</v>
      </c>
      <c r="K77" t="s">
        <v>298</v>
      </c>
      <c r="L77">
        <v>0.35155929400000002</v>
      </c>
      <c r="M77">
        <v>4.1964341889999996</v>
      </c>
      <c r="N77">
        <v>92.352941180000002</v>
      </c>
      <c r="O77">
        <v>3.92</v>
      </c>
      <c r="P77">
        <v>55.11</v>
      </c>
      <c r="Q77">
        <v>1.43242</v>
      </c>
      <c r="R77" t="s">
        <v>70</v>
      </c>
      <c r="S77" t="s">
        <v>77</v>
      </c>
      <c r="T77" t="str">
        <f t="shared" si="3"/>
        <v>reef</v>
      </c>
      <c r="U77" s="1">
        <v>0.445016480574149</v>
      </c>
      <c r="V77" s="1">
        <v>0.44280409900316925</v>
      </c>
      <c r="W77" s="1">
        <v>5.2176058774916302E-2</v>
      </c>
      <c r="X77" s="1">
        <v>3.6319894627589336E-3</v>
      </c>
      <c r="Y77" s="1">
        <v>1.2701279088762425E-3</v>
      </c>
      <c r="Z77" s="1">
        <v>0</v>
      </c>
      <c r="AA77" s="1">
        <v>5.3888530876490155E-2</v>
      </c>
      <c r="AB77" s="1">
        <v>1.212713399640119E-3</v>
      </c>
      <c r="AC77">
        <v>1</v>
      </c>
      <c r="AD77">
        <v>1</v>
      </c>
      <c r="AE77">
        <v>0</v>
      </c>
      <c r="AF77">
        <v>1</v>
      </c>
      <c r="AG77">
        <v>1</v>
      </c>
      <c r="AH77">
        <v>1</v>
      </c>
      <c r="AI77">
        <v>1</v>
      </c>
      <c r="AJ77">
        <v>1</v>
      </c>
      <c r="AK77">
        <v>1</v>
      </c>
      <c r="AL77">
        <v>0</v>
      </c>
      <c r="AM77">
        <v>0</v>
      </c>
      <c r="AN77">
        <v>1</v>
      </c>
      <c r="AO77">
        <v>1</v>
      </c>
      <c r="AP77">
        <v>1</v>
      </c>
      <c r="AQ77">
        <v>1</v>
      </c>
      <c r="AR77">
        <v>3</v>
      </c>
      <c r="AS77" t="s">
        <v>2593</v>
      </c>
    </row>
    <row r="78" spans="1:45" x14ac:dyDescent="0.25">
      <c r="A78">
        <v>17</v>
      </c>
      <c r="B78" t="str">
        <f>VLOOKUP(A78,'model groups'!$A$3:$C$86,2,FALSE)</f>
        <v>vermilion snapper</v>
      </c>
      <c r="C78" t="s">
        <v>299</v>
      </c>
      <c r="D78" t="s">
        <v>300</v>
      </c>
      <c r="E78" t="s">
        <v>300</v>
      </c>
      <c r="F78" t="s">
        <v>301</v>
      </c>
      <c r="G78" t="s">
        <v>195</v>
      </c>
      <c r="H78" t="s">
        <v>196</v>
      </c>
      <c r="I78" t="s">
        <v>296</v>
      </c>
      <c r="J78" t="s">
        <v>302</v>
      </c>
      <c r="K78" t="s">
        <v>303</v>
      </c>
      <c r="L78">
        <v>0.44960260000000002</v>
      </c>
      <c r="M78">
        <v>6.5941118564999996</v>
      </c>
      <c r="N78">
        <v>63</v>
      </c>
      <c r="O78">
        <v>4.1100000000000003</v>
      </c>
      <c r="P78">
        <v>49.58</v>
      </c>
      <c r="Q78">
        <v>2.7719999999999998</v>
      </c>
      <c r="R78" t="s">
        <v>70</v>
      </c>
      <c r="S78" t="s">
        <v>77</v>
      </c>
      <c r="T78" t="str">
        <f t="shared" si="3"/>
        <v>reef</v>
      </c>
      <c r="U78" s="1">
        <v>0.23144444793264116</v>
      </c>
      <c r="V78" s="1">
        <v>0.23317777314337043</v>
      </c>
      <c r="W78" s="1">
        <v>1.4444443989411111E-3</v>
      </c>
      <c r="X78" s="1">
        <v>0</v>
      </c>
      <c r="Y78" s="1">
        <v>0.18488889174446227</v>
      </c>
      <c r="Z78" s="1">
        <v>0</v>
      </c>
      <c r="AA78" s="1">
        <v>0.14499999693754997</v>
      </c>
      <c r="AB78" s="1">
        <v>0.20404444584303513</v>
      </c>
      <c r="AC78">
        <v>0</v>
      </c>
      <c r="AD78">
        <v>1</v>
      </c>
      <c r="AE78">
        <v>0</v>
      </c>
      <c r="AF78">
        <v>1</v>
      </c>
      <c r="AG78">
        <v>1</v>
      </c>
      <c r="AH78">
        <v>0</v>
      </c>
      <c r="AI78">
        <v>1</v>
      </c>
      <c r="AJ78">
        <v>0</v>
      </c>
      <c r="AK78">
        <v>1</v>
      </c>
      <c r="AL78">
        <v>0</v>
      </c>
      <c r="AM78">
        <v>1</v>
      </c>
      <c r="AN78">
        <v>1</v>
      </c>
      <c r="AO78">
        <v>1</v>
      </c>
      <c r="AP78">
        <v>1</v>
      </c>
      <c r="AQ78">
        <v>1</v>
      </c>
      <c r="AR78">
        <v>3</v>
      </c>
      <c r="AS78" t="s">
        <v>2593</v>
      </c>
    </row>
    <row r="79" spans="1:45" x14ac:dyDescent="0.25">
      <c r="A79">
        <v>18</v>
      </c>
      <c r="B79" t="str">
        <f>VLOOKUP(A79,'model groups'!$A$3:$C$86,2,FALSE)</f>
        <v>gray snapper</v>
      </c>
      <c r="C79" t="s">
        <v>304</v>
      </c>
      <c r="D79" t="s">
        <v>305</v>
      </c>
      <c r="E79" t="s">
        <v>305</v>
      </c>
      <c r="F79" t="s">
        <v>306</v>
      </c>
      <c r="G79" t="s">
        <v>195</v>
      </c>
      <c r="H79" t="s">
        <v>196</v>
      </c>
      <c r="I79" t="s">
        <v>296</v>
      </c>
      <c r="J79" t="s">
        <v>297</v>
      </c>
      <c r="K79" t="s">
        <v>307</v>
      </c>
      <c r="L79">
        <v>0.39098165000000001</v>
      </c>
      <c r="M79">
        <v>5.5691715544999996</v>
      </c>
      <c r="N79">
        <v>61.325000000000003</v>
      </c>
      <c r="O79">
        <v>4.0999999999999996</v>
      </c>
      <c r="P79">
        <v>39.82</v>
      </c>
      <c r="Q79">
        <v>1.7771699999999999</v>
      </c>
      <c r="R79" t="s">
        <v>50</v>
      </c>
      <c r="S79" t="s">
        <v>77</v>
      </c>
      <c r="T79" t="str">
        <f t="shared" si="3"/>
        <v>reef</v>
      </c>
      <c r="U79" s="1">
        <v>0.48423670834873034</v>
      </c>
      <c r="V79" s="1">
        <v>0.4913870727380244</v>
      </c>
      <c r="W79" s="1">
        <v>0</v>
      </c>
      <c r="X79" s="1">
        <v>3.5001749235379154E-3</v>
      </c>
      <c r="Y79" s="1">
        <v>0</v>
      </c>
      <c r="Z79" s="1">
        <v>0</v>
      </c>
      <c r="AA79" s="1">
        <v>2.0876043989707365E-2</v>
      </c>
      <c r="AB79" s="1">
        <v>0</v>
      </c>
      <c r="AC79">
        <v>0</v>
      </c>
      <c r="AD79">
        <v>1</v>
      </c>
      <c r="AE79">
        <v>1</v>
      </c>
      <c r="AF79">
        <v>1</v>
      </c>
      <c r="AG79">
        <v>1</v>
      </c>
      <c r="AH79">
        <v>0</v>
      </c>
      <c r="AI79">
        <v>0</v>
      </c>
      <c r="AJ79">
        <v>0</v>
      </c>
      <c r="AK79">
        <v>1</v>
      </c>
      <c r="AL79">
        <v>0</v>
      </c>
      <c r="AM79">
        <v>1</v>
      </c>
      <c r="AN79">
        <v>1</v>
      </c>
      <c r="AO79">
        <v>1</v>
      </c>
      <c r="AP79">
        <v>1</v>
      </c>
      <c r="AQ79">
        <v>1</v>
      </c>
      <c r="AR79">
        <v>3</v>
      </c>
      <c r="AS79" t="s">
        <v>2593</v>
      </c>
    </row>
    <row r="80" spans="1:45" x14ac:dyDescent="0.25">
      <c r="A80">
        <v>19</v>
      </c>
      <c r="B80" t="str">
        <f>VLOOKUP(A80,'model groups'!$A$3:$C$86,2,FALSE)</f>
        <v>other snapper</v>
      </c>
      <c r="C80" t="s">
        <v>308</v>
      </c>
      <c r="D80" t="s">
        <v>309</v>
      </c>
      <c r="E80" t="s">
        <v>309</v>
      </c>
      <c r="G80" t="s">
        <v>195</v>
      </c>
      <c r="H80" t="s">
        <v>196</v>
      </c>
      <c r="I80" t="s">
        <v>296</v>
      </c>
      <c r="J80" t="s">
        <v>297</v>
      </c>
      <c r="K80" t="s">
        <v>310</v>
      </c>
      <c r="L80">
        <v>0.30278616699999999</v>
      </c>
      <c r="M80">
        <v>4.421341451</v>
      </c>
      <c r="N80">
        <v>89.933333329999996</v>
      </c>
      <c r="O80">
        <v>3.8766666669999998</v>
      </c>
      <c r="P80">
        <v>55.17</v>
      </c>
      <c r="Q80">
        <v>1.6902999999999999</v>
      </c>
      <c r="R80" t="s">
        <v>50</v>
      </c>
      <c r="S80" t="s">
        <v>77</v>
      </c>
      <c r="T80" t="str">
        <f t="shared" si="3"/>
        <v>no</v>
      </c>
      <c r="U80" s="1">
        <v>0.38138389574585485</v>
      </c>
      <c r="V80" s="1">
        <v>0.50965213149305233</v>
      </c>
      <c r="W80" s="1">
        <v>1.3362940203940708E-2</v>
      </c>
      <c r="X80" s="1">
        <v>1.4403169285489821E-3</v>
      </c>
      <c r="Y80" s="1">
        <v>5.6012321745077861E-3</v>
      </c>
      <c r="Z80" s="1">
        <v>0</v>
      </c>
      <c r="AA80" s="1">
        <v>8.7259197444234243E-2</v>
      </c>
      <c r="AB80" s="1">
        <v>1.3002860098611361E-3</v>
      </c>
      <c r="AC80">
        <v>0</v>
      </c>
      <c r="AD80">
        <v>0</v>
      </c>
      <c r="AE80">
        <v>0</v>
      </c>
      <c r="AF80">
        <v>1</v>
      </c>
      <c r="AG80">
        <v>0</v>
      </c>
      <c r="AH80">
        <v>0</v>
      </c>
      <c r="AI80">
        <v>0</v>
      </c>
      <c r="AJ80">
        <v>0</v>
      </c>
      <c r="AK80">
        <v>0</v>
      </c>
      <c r="AL80">
        <v>0</v>
      </c>
      <c r="AM80">
        <v>0</v>
      </c>
      <c r="AN80">
        <v>0</v>
      </c>
      <c r="AO80">
        <v>1</v>
      </c>
      <c r="AP80">
        <v>0</v>
      </c>
      <c r="AQ80">
        <v>1</v>
      </c>
      <c r="AR80">
        <v>3</v>
      </c>
      <c r="AS80" t="s">
        <v>2593</v>
      </c>
    </row>
    <row r="81" spans="1:45" x14ac:dyDescent="0.25">
      <c r="A81">
        <v>19</v>
      </c>
      <c r="B81" t="str">
        <f>VLOOKUP(A81,'model groups'!$A$3:$C$86,2,FALSE)</f>
        <v>other snapper</v>
      </c>
      <c r="C81" t="s">
        <v>311</v>
      </c>
      <c r="D81" t="s">
        <v>312</v>
      </c>
      <c r="E81" t="s">
        <v>312</v>
      </c>
      <c r="G81" t="s">
        <v>195</v>
      </c>
      <c r="H81" t="s">
        <v>196</v>
      </c>
      <c r="I81" t="s">
        <v>296</v>
      </c>
      <c r="J81" t="s">
        <v>297</v>
      </c>
      <c r="K81" t="s">
        <v>313</v>
      </c>
      <c r="L81">
        <v>0.53874869299999995</v>
      </c>
      <c r="M81">
        <v>5.8742911514999996</v>
      </c>
      <c r="N81">
        <v>49.373333330000001</v>
      </c>
      <c r="O81">
        <v>3.766666667</v>
      </c>
      <c r="P81">
        <v>37.21</v>
      </c>
      <c r="Q81">
        <v>1.4635899999999999</v>
      </c>
      <c r="R81" t="s">
        <v>70</v>
      </c>
      <c r="S81" t="s">
        <v>77</v>
      </c>
      <c r="T81" t="str">
        <f t="shared" si="3"/>
        <v>reef</v>
      </c>
      <c r="U81" s="1">
        <v>0.31485713756815431</v>
      </c>
      <c r="V81" s="1">
        <v>0.58130000564110096</v>
      </c>
      <c r="W81" s="1">
        <v>2.3371429341138852E-2</v>
      </c>
      <c r="X81" s="1">
        <v>6.9571429605712852E-3</v>
      </c>
      <c r="Y81" s="1">
        <v>2.8857142477934287E-3</v>
      </c>
      <c r="Z81" s="1">
        <v>0</v>
      </c>
      <c r="AA81" s="1">
        <v>6.9399998836438007E-2</v>
      </c>
      <c r="AB81" s="1">
        <v>1.228571404803143E-3</v>
      </c>
      <c r="AC81">
        <v>1</v>
      </c>
      <c r="AD81">
        <v>0</v>
      </c>
      <c r="AE81">
        <v>0</v>
      </c>
      <c r="AF81">
        <v>1</v>
      </c>
      <c r="AG81">
        <v>1</v>
      </c>
      <c r="AH81">
        <v>0</v>
      </c>
      <c r="AI81">
        <v>0</v>
      </c>
      <c r="AJ81">
        <v>0</v>
      </c>
      <c r="AK81">
        <v>1</v>
      </c>
      <c r="AL81">
        <v>0</v>
      </c>
      <c r="AM81">
        <v>1</v>
      </c>
      <c r="AN81">
        <v>1</v>
      </c>
      <c r="AO81">
        <v>1</v>
      </c>
      <c r="AP81">
        <v>1</v>
      </c>
      <c r="AQ81">
        <v>1</v>
      </c>
      <c r="AR81">
        <v>3</v>
      </c>
      <c r="AS81" t="s">
        <v>2593</v>
      </c>
    </row>
    <row r="82" spans="1:45" x14ac:dyDescent="0.25">
      <c r="A82">
        <v>19</v>
      </c>
      <c r="B82" t="str">
        <f>VLOOKUP(A82,'model groups'!$A$3:$C$86,2,FALSE)</f>
        <v>other snapper</v>
      </c>
      <c r="C82" t="s">
        <v>314</v>
      </c>
      <c r="D82" t="s">
        <v>315</v>
      </c>
      <c r="E82" t="s">
        <v>315</v>
      </c>
      <c r="G82" t="s">
        <v>195</v>
      </c>
      <c r="H82" t="s">
        <v>196</v>
      </c>
      <c r="I82" t="s">
        <v>296</v>
      </c>
      <c r="J82" t="s">
        <v>297</v>
      </c>
      <c r="K82" t="s">
        <v>316</v>
      </c>
      <c r="L82">
        <v>0.14249999999999999</v>
      </c>
      <c r="M82">
        <v>5.0153750849999996</v>
      </c>
      <c r="N82">
        <v>74.3</v>
      </c>
      <c r="O82">
        <v>3.286666667</v>
      </c>
      <c r="P82">
        <v>67.69</v>
      </c>
      <c r="Q82">
        <v>0.59401099999999996</v>
      </c>
      <c r="R82" t="s">
        <v>70</v>
      </c>
      <c r="S82" t="s">
        <v>77</v>
      </c>
      <c r="T82" t="str">
        <f t="shared" si="3"/>
        <v>no</v>
      </c>
      <c r="U82">
        <v>0.219278072023362</v>
      </c>
      <c r="V82">
        <v>0.353864604563422</v>
      </c>
      <c r="W82">
        <v>0.42145786322973999</v>
      </c>
      <c r="X82">
        <v>0</v>
      </c>
      <c r="Y82">
        <v>0</v>
      </c>
      <c r="Z82">
        <v>0</v>
      </c>
      <c r="AA82">
        <v>0</v>
      </c>
      <c r="AB82">
        <v>5.3994601834756999E-3</v>
      </c>
      <c r="AC82">
        <v>0</v>
      </c>
      <c r="AD82">
        <v>0</v>
      </c>
      <c r="AE82" t="s">
        <v>231</v>
      </c>
      <c r="AF82" t="s">
        <v>231</v>
      </c>
      <c r="AG82">
        <v>0</v>
      </c>
      <c r="AH82">
        <v>0</v>
      </c>
      <c r="AI82">
        <v>0</v>
      </c>
      <c r="AJ82">
        <v>0</v>
      </c>
      <c r="AK82">
        <v>0</v>
      </c>
      <c r="AL82">
        <v>0</v>
      </c>
      <c r="AM82">
        <v>0</v>
      </c>
      <c r="AN82">
        <v>0</v>
      </c>
      <c r="AO82">
        <v>0</v>
      </c>
      <c r="AP82">
        <v>0</v>
      </c>
      <c r="AQ82">
        <v>1</v>
      </c>
      <c r="AR82">
        <v>3</v>
      </c>
      <c r="AS82" t="s">
        <v>2593</v>
      </c>
    </row>
    <row r="83" spans="1:45" x14ac:dyDescent="0.25">
      <c r="A83">
        <v>19</v>
      </c>
      <c r="B83" t="str">
        <f>VLOOKUP(A83,'model groups'!$A$3:$C$86,2,FALSE)</f>
        <v>other snapper</v>
      </c>
      <c r="D83" t="s">
        <v>317</v>
      </c>
      <c r="E83" t="s">
        <v>318</v>
      </c>
      <c r="G83" t="s">
        <v>195</v>
      </c>
      <c r="H83" t="s">
        <v>319</v>
      </c>
      <c r="I83" t="s">
        <v>296</v>
      </c>
      <c r="J83" t="s">
        <v>297</v>
      </c>
      <c r="T83" t="str">
        <f t="shared" si="3"/>
        <v>reef</v>
      </c>
      <c r="U83" s="1"/>
      <c r="V83" s="1"/>
      <c r="W83" s="1"/>
      <c r="X83" s="1"/>
      <c r="Y83" s="1"/>
      <c r="Z83" s="1"/>
      <c r="AA83" s="1"/>
      <c r="AB83" s="1"/>
      <c r="AG83">
        <v>0</v>
      </c>
      <c r="AH83">
        <v>0</v>
      </c>
      <c r="AI83">
        <v>0</v>
      </c>
      <c r="AJ83">
        <v>0</v>
      </c>
      <c r="AK83">
        <v>1</v>
      </c>
      <c r="AL83">
        <v>0</v>
      </c>
      <c r="AM83">
        <v>0</v>
      </c>
      <c r="AN83">
        <v>0</v>
      </c>
      <c r="AO83">
        <v>0</v>
      </c>
      <c r="AP83">
        <v>0</v>
      </c>
      <c r="AQ83">
        <v>0</v>
      </c>
      <c r="AR83">
        <v>3</v>
      </c>
      <c r="AS83" t="s">
        <v>2593</v>
      </c>
    </row>
    <row r="84" spans="1:45" x14ac:dyDescent="0.25">
      <c r="A84">
        <v>19</v>
      </c>
      <c r="B84" t="str">
        <f>VLOOKUP(A84,'model groups'!$A$3:$C$86,2,FALSE)</f>
        <v>other snapper</v>
      </c>
      <c r="C84" t="s">
        <v>320</v>
      </c>
      <c r="D84" t="s">
        <v>321</v>
      </c>
      <c r="E84" t="s">
        <v>321</v>
      </c>
      <c r="G84" t="s">
        <v>241</v>
      </c>
      <c r="H84" t="s">
        <v>319</v>
      </c>
      <c r="I84" t="s">
        <v>296</v>
      </c>
      <c r="J84" t="s">
        <v>297</v>
      </c>
      <c r="AR84">
        <v>3</v>
      </c>
      <c r="AS84" t="s">
        <v>2593</v>
      </c>
    </row>
    <row r="85" spans="1:45" x14ac:dyDescent="0.25">
      <c r="A85">
        <v>19</v>
      </c>
      <c r="B85" t="str">
        <f>VLOOKUP(A85,'model groups'!$A$3:$C$86,2,FALSE)</f>
        <v>other snapper</v>
      </c>
      <c r="C85" t="s">
        <v>322</v>
      </c>
      <c r="D85" t="s">
        <v>323</v>
      </c>
      <c r="E85" t="s">
        <v>323</v>
      </c>
      <c r="G85" t="s">
        <v>241</v>
      </c>
      <c r="H85" t="s">
        <v>319</v>
      </c>
      <c r="I85" t="s">
        <v>296</v>
      </c>
      <c r="J85" t="s">
        <v>297</v>
      </c>
      <c r="AR85">
        <v>3</v>
      </c>
      <c r="AS85" t="s">
        <v>2593</v>
      </c>
    </row>
    <row r="86" spans="1:45" x14ac:dyDescent="0.25">
      <c r="A86">
        <v>19</v>
      </c>
      <c r="B86" t="str">
        <f>VLOOKUP(A86,'model groups'!$A$3:$C$86,2,FALSE)</f>
        <v>other snapper</v>
      </c>
      <c r="C86" t="s">
        <v>324</v>
      </c>
      <c r="D86" t="s">
        <v>325</v>
      </c>
      <c r="E86" t="s">
        <v>325</v>
      </c>
      <c r="G86" t="s">
        <v>241</v>
      </c>
      <c r="H86" t="s">
        <v>319</v>
      </c>
      <c r="I86" t="s">
        <v>296</v>
      </c>
      <c r="J86" t="s">
        <v>297</v>
      </c>
      <c r="AR86">
        <v>3</v>
      </c>
      <c r="AS86" t="s">
        <v>2593</v>
      </c>
    </row>
    <row r="87" spans="1:45" x14ac:dyDescent="0.25">
      <c r="A87">
        <v>19</v>
      </c>
      <c r="B87" t="str">
        <f>VLOOKUP(A87,'model groups'!$A$3:$C$86,2,FALSE)</f>
        <v>other snapper</v>
      </c>
      <c r="C87" t="s">
        <v>326</v>
      </c>
      <c r="D87" t="s">
        <v>327</v>
      </c>
      <c r="E87" t="s">
        <v>327</v>
      </c>
      <c r="F87" t="s">
        <v>328</v>
      </c>
      <c r="G87" t="s">
        <v>195</v>
      </c>
      <c r="H87" t="s">
        <v>196</v>
      </c>
      <c r="I87" t="s">
        <v>296</v>
      </c>
      <c r="J87" t="s">
        <v>329</v>
      </c>
      <c r="K87" t="s">
        <v>330</v>
      </c>
      <c r="L87">
        <v>0.46454075700000003</v>
      </c>
      <c r="M87">
        <v>5.7392093059999993</v>
      </c>
      <c r="N87">
        <v>54.142857139999997</v>
      </c>
      <c r="O87">
        <v>3.9366666669999999</v>
      </c>
      <c r="P87">
        <v>64.92</v>
      </c>
      <c r="Q87">
        <v>1.7369600000000001</v>
      </c>
      <c r="R87" t="s">
        <v>70</v>
      </c>
      <c r="S87" t="s">
        <v>77</v>
      </c>
      <c r="T87" t="str">
        <f>IF(OR(AK87=1,AN87=1),"reef","no")</f>
        <v>reef</v>
      </c>
      <c r="U87" s="1">
        <v>0.35475000051001504</v>
      </c>
      <c r="V87" s="1">
        <v>0.16799999830431997</v>
      </c>
      <c r="W87" s="1">
        <v>6.2500000671250003E-3</v>
      </c>
      <c r="X87" s="1">
        <v>0</v>
      </c>
      <c r="Y87" s="1">
        <v>5.0000000537000003E-3</v>
      </c>
      <c r="Z87" s="1">
        <v>2.450000074313001E-2</v>
      </c>
      <c r="AA87" s="1">
        <v>7.2000000063280001E-2</v>
      </c>
      <c r="AB87" s="1">
        <v>0.36950000025843005</v>
      </c>
      <c r="AC87">
        <v>0</v>
      </c>
      <c r="AD87">
        <v>0</v>
      </c>
      <c r="AE87">
        <v>1</v>
      </c>
      <c r="AF87">
        <v>1</v>
      </c>
      <c r="AG87">
        <v>0</v>
      </c>
      <c r="AH87">
        <v>0</v>
      </c>
      <c r="AI87">
        <v>0</v>
      </c>
      <c r="AJ87">
        <v>0</v>
      </c>
      <c r="AK87">
        <v>1</v>
      </c>
      <c r="AL87">
        <v>0</v>
      </c>
      <c r="AM87">
        <v>1</v>
      </c>
      <c r="AN87">
        <v>0</v>
      </c>
      <c r="AO87">
        <v>1</v>
      </c>
      <c r="AP87">
        <v>0</v>
      </c>
      <c r="AQ87">
        <v>1</v>
      </c>
      <c r="AR87">
        <v>3</v>
      </c>
      <c r="AS87" t="s">
        <v>2593</v>
      </c>
    </row>
    <row r="88" spans="1:45" x14ac:dyDescent="0.25">
      <c r="A88">
        <v>19</v>
      </c>
      <c r="B88" t="str">
        <f>VLOOKUP(A88,'model groups'!$A$3:$C$86,2,FALSE)</f>
        <v>other snapper</v>
      </c>
      <c r="D88" t="s">
        <v>331</v>
      </c>
      <c r="E88" t="s">
        <v>331</v>
      </c>
      <c r="G88" t="s">
        <v>241</v>
      </c>
      <c r="H88" t="s">
        <v>319</v>
      </c>
      <c r="I88" t="s">
        <v>296</v>
      </c>
      <c r="J88" t="s">
        <v>332</v>
      </c>
      <c r="K88" t="s">
        <v>333</v>
      </c>
      <c r="AR88">
        <v>3</v>
      </c>
      <c r="AS88" t="s">
        <v>2593</v>
      </c>
    </row>
    <row r="89" spans="1:45" x14ac:dyDescent="0.25">
      <c r="A89">
        <v>20</v>
      </c>
      <c r="B89" t="str">
        <f>VLOOKUP(A89,'model groups'!$A$3:$C$86,2,FALSE)</f>
        <v>gag 0</v>
      </c>
      <c r="C89" t="s">
        <v>334</v>
      </c>
      <c r="D89" t="s">
        <v>335</v>
      </c>
      <c r="E89" t="s">
        <v>335</v>
      </c>
      <c r="F89" t="s">
        <v>336</v>
      </c>
      <c r="G89" t="s">
        <v>195</v>
      </c>
      <c r="H89" t="s">
        <v>196</v>
      </c>
      <c r="I89" t="s">
        <v>337</v>
      </c>
      <c r="J89" t="s">
        <v>338</v>
      </c>
      <c r="K89" t="s">
        <v>339</v>
      </c>
      <c r="L89">
        <v>0.26264929999999997</v>
      </c>
      <c r="M89">
        <v>3.2495527785</v>
      </c>
      <c r="N89">
        <v>115</v>
      </c>
      <c r="O89">
        <v>3.69</v>
      </c>
      <c r="P89">
        <v>68.06</v>
      </c>
      <c r="Q89">
        <v>1.4346300000000001</v>
      </c>
      <c r="R89" t="s">
        <v>50</v>
      </c>
      <c r="S89" t="s">
        <v>77</v>
      </c>
      <c r="T89" t="str">
        <f t="shared" ref="T89:T101" si="4">IF(OR(AK89=1,AN89=1),"reef","no")</f>
        <v>reef</v>
      </c>
      <c r="U89" s="1">
        <v>0.06</v>
      </c>
      <c r="V89" s="1">
        <v>0.94</v>
      </c>
      <c r="W89" s="1">
        <v>0</v>
      </c>
      <c r="X89" s="1">
        <v>0</v>
      </c>
      <c r="Y89" s="1">
        <v>0</v>
      </c>
      <c r="Z89" s="1">
        <v>0</v>
      </c>
      <c r="AA89" s="1">
        <v>0</v>
      </c>
      <c r="AB89" s="1">
        <v>0</v>
      </c>
      <c r="AC89">
        <v>1</v>
      </c>
      <c r="AD89">
        <v>0</v>
      </c>
      <c r="AE89">
        <v>0</v>
      </c>
      <c r="AF89">
        <v>0</v>
      </c>
      <c r="AG89">
        <v>0</v>
      </c>
      <c r="AH89">
        <v>0</v>
      </c>
      <c r="AI89">
        <v>0</v>
      </c>
      <c r="AJ89">
        <v>1</v>
      </c>
      <c r="AK89">
        <v>1</v>
      </c>
      <c r="AL89">
        <v>0</v>
      </c>
      <c r="AM89">
        <v>1</v>
      </c>
      <c r="AN89">
        <v>1</v>
      </c>
      <c r="AO89">
        <v>1</v>
      </c>
      <c r="AP89">
        <v>1</v>
      </c>
      <c r="AQ89">
        <v>1</v>
      </c>
      <c r="AR89">
        <v>4</v>
      </c>
      <c r="AS89" t="s">
        <v>2247</v>
      </c>
    </row>
    <row r="90" spans="1:45" x14ac:dyDescent="0.25">
      <c r="A90">
        <v>21</v>
      </c>
      <c r="B90" t="str">
        <f>VLOOKUP(A90,'model groups'!$A$3:$C$86,2,FALSE)</f>
        <v>gag 1</v>
      </c>
      <c r="C90" t="s">
        <v>334</v>
      </c>
      <c r="D90" t="s">
        <v>335</v>
      </c>
      <c r="E90" t="s">
        <v>335</v>
      </c>
      <c r="F90" t="s">
        <v>336</v>
      </c>
      <c r="G90" t="s">
        <v>195</v>
      </c>
      <c r="H90" t="s">
        <v>196</v>
      </c>
      <c r="I90" t="s">
        <v>337</v>
      </c>
      <c r="J90" t="s">
        <v>338</v>
      </c>
      <c r="K90" t="s">
        <v>339</v>
      </c>
      <c r="L90">
        <v>0.26264929999999997</v>
      </c>
      <c r="M90">
        <v>3.2495527785</v>
      </c>
      <c r="N90">
        <v>115</v>
      </c>
      <c r="O90">
        <v>3.69</v>
      </c>
      <c r="P90">
        <v>68.06</v>
      </c>
      <c r="Q90">
        <v>1.4346300000000001</v>
      </c>
      <c r="R90" t="s">
        <v>50</v>
      </c>
      <c r="S90" t="s">
        <v>77</v>
      </c>
      <c r="T90" t="str">
        <f t="shared" si="4"/>
        <v>reef</v>
      </c>
      <c r="U90" s="1">
        <v>0.06</v>
      </c>
      <c r="V90" s="1">
        <v>0.94</v>
      </c>
      <c r="W90" s="1">
        <v>0</v>
      </c>
      <c r="X90" s="1">
        <v>0</v>
      </c>
      <c r="Y90" s="1">
        <v>0</v>
      </c>
      <c r="Z90" s="1">
        <v>0</v>
      </c>
      <c r="AA90" s="1">
        <v>0</v>
      </c>
      <c r="AB90" s="1">
        <v>0</v>
      </c>
      <c r="AC90">
        <v>1</v>
      </c>
      <c r="AD90">
        <v>0</v>
      </c>
      <c r="AE90">
        <v>0</v>
      </c>
      <c r="AF90">
        <v>0</v>
      </c>
      <c r="AG90">
        <v>0</v>
      </c>
      <c r="AH90">
        <v>0</v>
      </c>
      <c r="AI90">
        <v>0</v>
      </c>
      <c r="AJ90">
        <v>1</v>
      </c>
      <c r="AK90">
        <v>1</v>
      </c>
      <c r="AL90">
        <v>0</v>
      </c>
      <c r="AM90">
        <v>1</v>
      </c>
      <c r="AN90">
        <v>1</v>
      </c>
      <c r="AO90">
        <v>1</v>
      </c>
      <c r="AP90">
        <v>1</v>
      </c>
      <c r="AQ90">
        <v>1</v>
      </c>
      <c r="AR90">
        <v>5</v>
      </c>
      <c r="AS90" t="s">
        <v>2249</v>
      </c>
    </row>
    <row r="91" spans="1:45" x14ac:dyDescent="0.25">
      <c r="A91">
        <v>22</v>
      </c>
      <c r="B91" t="str">
        <f>VLOOKUP(A91,'model groups'!$A$3:$C$86,2,FALSE)</f>
        <v>gag 2</v>
      </c>
      <c r="C91" t="s">
        <v>334</v>
      </c>
      <c r="D91" t="s">
        <v>335</v>
      </c>
      <c r="E91" t="s">
        <v>335</v>
      </c>
      <c r="F91" t="s">
        <v>336</v>
      </c>
      <c r="G91" t="s">
        <v>195</v>
      </c>
      <c r="H91" t="s">
        <v>196</v>
      </c>
      <c r="I91" t="s">
        <v>337</v>
      </c>
      <c r="J91" t="s">
        <v>338</v>
      </c>
      <c r="K91" t="s">
        <v>339</v>
      </c>
      <c r="L91">
        <v>0.26264929999999997</v>
      </c>
      <c r="M91">
        <v>3.2495527785</v>
      </c>
      <c r="N91">
        <v>115</v>
      </c>
      <c r="O91">
        <v>3.69</v>
      </c>
      <c r="P91">
        <v>68.06</v>
      </c>
      <c r="Q91">
        <v>1.4346300000000001</v>
      </c>
      <c r="R91" t="s">
        <v>50</v>
      </c>
      <c r="S91" t="s">
        <v>77</v>
      </c>
      <c r="T91" t="str">
        <f t="shared" si="4"/>
        <v>reef</v>
      </c>
      <c r="U91" s="1">
        <v>0.06</v>
      </c>
      <c r="V91" s="1">
        <v>0.94</v>
      </c>
      <c r="W91" s="1">
        <v>0</v>
      </c>
      <c r="X91" s="1">
        <v>0</v>
      </c>
      <c r="Y91" s="1">
        <v>0</v>
      </c>
      <c r="Z91" s="1">
        <v>0</v>
      </c>
      <c r="AA91" s="1">
        <v>0</v>
      </c>
      <c r="AB91" s="1">
        <v>0</v>
      </c>
      <c r="AC91">
        <v>1</v>
      </c>
      <c r="AD91">
        <v>0</v>
      </c>
      <c r="AE91">
        <v>0</v>
      </c>
      <c r="AF91">
        <v>0</v>
      </c>
      <c r="AG91">
        <v>0</v>
      </c>
      <c r="AH91">
        <v>0</v>
      </c>
      <c r="AI91">
        <v>0</v>
      </c>
      <c r="AJ91">
        <v>1</v>
      </c>
      <c r="AK91">
        <v>1</v>
      </c>
      <c r="AL91">
        <v>0</v>
      </c>
      <c r="AM91">
        <v>1</v>
      </c>
      <c r="AN91">
        <v>1</v>
      </c>
      <c r="AO91">
        <v>1</v>
      </c>
      <c r="AP91">
        <v>1</v>
      </c>
      <c r="AQ91">
        <v>1</v>
      </c>
      <c r="AR91">
        <v>6</v>
      </c>
      <c r="AS91" t="s">
        <v>2251</v>
      </c>
    </row>
    <row r="92" spans="1:45" x14ac:dyDescent="0.25">
      <c r="A92">
        <v>23</v>
      </c>
      <c r="B92" t="str">
        <f>VLOOKUP(A92,'model groups'!$A$3:$C$86,2,FALSE)</f>
        <v>gag 3</v>
      </c>
      <c r="C92" t="s">
        <v>334</v>
      </c>
      <c r="D92" t="s">
        <v>335</v>
      </c>
      <c r="E92" t="s">
        <v>335</v>
      </c>
      <c r="F92" t="s">
        <v>336</v>
      </c>
      <c r="G92" t="s">
        <v>195</v>
      </c>
      <c r="H92" t="s">
        <v>196</v>
      </c>
      <c r="I92" t="s">
        <v>337</v>
      </c>
      <c r="J92" t="s">
        <v>338</v>
      </c>
      <c r="K92" t="s">
        <v>339</v>
      </c>
      <c r="L92">
        <v>0.26264929999999997</v>
      </c>
      <c r="M92">
        <v>3.2495527785</v>
      </c>
      <c r="N92">
        <v>115</v>
      </c>
      <c r="O92">
        <v>3.69</v>
      </c>
      <c r="P92">
        <v>68.06</v>
      </c>
      <c r="Q92">
        <v>1.4346300000000001</v>
      </c>
      <c r="R92" t="s">
        <v>50</v>
      </c>
      <c r="S92" t="s">
        <v>77</v>
      </c>
      <c r="T92" t="str">
        <f t="shared" si="4"/>
        <v>reef</v>
      </c>
      <c r="U92" s="1">
        <v>0.06</v>
      </c>
      <c r="V92" s="1">
        <v>0.94</v>
      </c>
      <c r="W92" s="1">
        <v>0</v>
      </c>
      <c r="X92" s="1">
        <v>0</v>
      </c>
      <c r="Y92" s="1">
        <v>0</v>
      </c>
      <c r="Z92" s="1">
        <v>0</v>
      </c>
      <c r="AA92" s="1">
        <v>0</v>
      </c>
      <c r="AB92" s="1">
        <v>0</v>
      </c>
      <c r="AC92">
        <v>1</v>
      </c>
      <c r="AD92">
        <v>0</v>
      </c>
      <c r="AE92">
        <v>0</v>
      </c>
      <c r="AF92">
        <v>0</v>
      </c>
      <c r="AG92">
        <v>0</v>
      </c>
      <c r="AH92">
        <v>0</v>
      </c>
      <c r="AI92">
        <v>0</v>
      </c>
      <c r="AJ92">
        <v>1</v>
      </c>
      <c r="AK92">
        <v>1</v>
      </c>
      <c r="AL92">
        <v>0</v>
      </c>
      <c r="AM92">
        <v>1</v>
      </c>
      <c r="AN92">
        <v>1</v>
      </c>
      <c r="AO92">
        <v>1</v>
      </c>
      <c r="AP92">
        <v>1</v>
      </c>
      <c r="AQ92">
        <v>1</v>
      </c>
      <c r="AR92">
        <v>7</v>
      </c>
      <c r="AS92" t="s">
        <v>2253</v>
      </c>
    </row>
    <row r="93" spans="1:45" x14ac:dyDescent="0.25">
      <c r="A93">
        <v>24</v>
      </c>
      <c r="B93" t="str">
        <f>VLOOKUP(A93,'model groups'!$A$3:$C$86,2,FALSE)</f>
        <v>gag 4</v>
      </c>
      <c r="C93" t="s">
        <v>334</v>
      </c>
      <c r="D93" t="s">
        <v>335</v>
      </c>
      <c r="E93" t="s">
        <v>335</v>
      </c>
      <c r="F93" t="s">
        <v>336</v>
      </c>
      <c r="G93" t="s">
        <v>195</v>
      </c>
      <c r="H93" t="s">
        <v>196</v>
      </c>
      <c r="I93" t="s">
        <v>337</v>
      </c>
      <c r="J93" t="s">
        <v>338</v>
      </c>
      <c r="K93" t="s">
        <v>339</v>
      </c>
      <c r="L93">
        <v>0.26264929999999997</v>
      </c>
      <c r="M93">
        <v>3.2495527785</v>
      </c>
      <c r="N93">
        <v>115</v>
      </c>
      <c r="O93">
        <v>3.69</v>
      </c>
      <c r="P93">
        <v>68.06</v>
      </c>
      <c r="Q93">
        <v>1.4346300000000001</v>
      </c>
      <c r="R93" t="s">
        <v>50</v>
      </c>
      <c r="S93" t="s">
        <v>77</v>
      </c>
      <c r="T93" t="str">
        <f t="shared" si="4"/>
        <v>reef</v>
      </c>
      <c r="U93" s="1">
        <v>0.06</v>
      </c>
      <c r="V93" s="1">
        <v>0.94</v>
      </c>
      <c r="W93" s="1">
        <v>0</v>
      </c>
      <c r="X93" s="1">
        <v>0</v>
      </c>
      <c r="Y93" s="1">
        <v>0</v>
      </c>
      <c r="Z93" s="1">
        <v>0</v>
      </c>
      <c r="AA93" s="1">
        <v>0</v>
      </c>
      <c r="AB93" s="1">
        <v>0</v>
      </c>
      <c r="AC93">
        <v>1</v>
      </c>
      <c r="AD93">
        <v>0</v>
      </c>
      <c r="AE93">
        <v>0</v>
      </c>
      <c r="AF93">
        <v>0</v>
      </c>
      <c r="AG93">
        <v>0</v>
      </c>
      <c r="AH93">
        <v>0</v>
      </c>
      <c r="AI93">
        <v>0</v>
      </c>
      <c r="AJ93">
        <v>1</v>
      </c>
      <c r="AK93">
        <v>1</v>
      </c>
      <c r="AL93">
        <v>0</v>
      </c>
      <c r="AM93">
        <v>1</v>
      </c>
      <c r="AN93">
        <v>1</v>
      </c>
      <c r="AO93">
        <v>1</v>
      </c>
      <c r="AP93">
        <v>1</v>
      </c>
      <c r="AQ93">
        <v>1</v>
      </c>
      <c r="AR93">
        <v>8</v>
      </c>
      <c r="AS93" t="s">
        <v>2255</v>
      </c>
    </row>
    <row r="94" spans="1:45" x14ac:dyDescent="0.25">
      <c r="A94">
        <v>25</v>
      </c>
      <c r="B94" t="str">
        <f>VLOOKUP(A94,'model groups'!$A$3:$C$86,2,FALSE)</f>
        <v>gag 5+</v>
      </c>
      <c r="C94" t="s">
        <v>334</v>
      </c>
      <c r="D94" t="s">
        <v>335</v>
      </c>
      <c r="E94" t="s">
        <v>335</v>
      </c>
      <c r="F94" t="s">
        <v>336</v>
      </c>
      <c r="G94" t="s">
        <v>195</v>
      </c>
      <c r="H94" t="s">
        <v>196</v>
      </c>
      <c r="I94" t="s">
        <v>337</v>
      </c>
      <c r="J94" t="s">
        <v>338</v>
      </c>
      <c r="K94" t="s">
        <v>339</v>
      </c>
      <c r="L94">
        <v>0.26264929999999997</v>
      </c>
      <c r="M94">
        <v>3.2495527785</v>
      </c>
      <c r="N94">
        <v>115</v>
      </c>
      <c r="O94">
        <v>3.69</v>
      </c>
      <c r="P94">
        <v>68.06</v>
      </c>
      <c r="Q94">
        <v>1.4346300000000001</v>
      </c>
      <c r="R94" t="s">
        <v>50</v>
      </c>
      <c r="S94" t="s">
        <v>77</v>
      </c>
      <c r="T94" t="str">
        <f t="shared" si="4"/>
        <v>reef</v>
      </c>
      <c r="U94" s="1">
        <v>0.06</v>
      </c>
      <c r="V94" s="1">
        <v>0.94</v>
      </c>
      <c r="W94" s="1">
        <v>0</v>
      </c>
      <c r="X94" s="1">
        <v>0</v>
      </c>
      <c r="Y94" s="1">
        <v>0</v>
      </c>
      <c r="Z94" s="1">
        <v>0</v>
      </c>
      <c r="AA94" s="1">
        <v>0</v>
      </c>
      <c r="AB94" s="1">
        <v>0</v>
      </c>
      <c r="AC94">
        <v>1</v>
      </c>
      <c r="AD94">
        <v>0</v>
      </c>
      <c r="AE94">
        <v>0</v>
      </c>
      <c r="AF94">
        <v>0</v>
      </c>
      <c r="AG94">
        <v>0</v>
      </c>
      <c r="AH94">
        <v>0</v>
      </c>
      <c r="AI94">
        <v>0</v>
      </c>
      <c r="AJ94">
        <v>1</v>
      </c>
      <c r="AK94">
        <v>1</v>
      </c>
      <c r="AL94">
        <v>0</v>
      </c>
      <c r="AM94">
        <v>1</v>
      </c>
      <c r="AN94">
        <v>1</v>
      </c>
      <c r="AO94">
        <v>1</v>
      </c>
      <c r="AP94">
        <v>1</v>
      </c>
      <c r="AQ94">
        <v>1</v>
      </c>
      <c r="AR94">
        <v>9</v>
      </c>
      <c r="AS94" t="s">
        <v>2257</v>
      </c>
    </row>
    <row r="95" spans="1:45" x14ac:dyDescent="0.25">
      <c r="A95">
        <v>26</v>
      </c>
      <c r="B95" t="str">
        <f>VLOOKUP(A95,'model groups'!$A$3:$C$86,2,FALSE)</f>
        <v>red grouper 0</v>
      </c>
      <c r="C95" t="s">
        <v>340</v>
      </c>
      <c r="D95" t="s">
        <v>341</v>
      </c>
      <c r="E95" t="s">
        <v>341</v>
      </c>
      <c r="F95" t="s">
        <v>342</v>
      </c>
      <c r="G95" t="s">
        <v>195</v>
      </c>
      <c r="H95" t="s">
        <v>196</v>
      </c>
      <c r="I95" t="s">
        <v>337</v>
      </c>
      <c r="J95" t="s">
        <v>343</v>
      </c>
      <c r="K95" t="s">
        <v>344</v>
      </c>
      <c r="L95">
        <v>0.32047807499999997</v>
      </c>
      <c r="M95">
        <v>3.9575220264999995</v>
      </c>
      <c r="N95">
        <v>82.875</v>
      </c>
      <c r="O95">
        <v>3.5649999999999999</v>
      </c>
      <c r="P95">
        <v>63.98</v>
      </c>
      <c r="Q95">
        <v>1.185605</v>
      </c>
      <c r="R95" t="s">
        <v>70</v>
      </c>
      <c r="S95" t="s">
        <v>77</v>
      </c>
      <c r="T95" t="str">
        <f t="shared" si="4"/>
        <v>reef</v>
      </c>
      <c r="U95" s="1">
        <v>0.15390000123154901</v>
      </c>
      <c r="V95" s="1">
        <v>0.70674999914189252</v>
      </c>
      <c r="W95" s="1">
        <v>2.6249999630137508E-2</v>
      </c>
      <c r="X95" s="1">
        <v>3.8999999550490007E-3</v>
      </c>
      <c r="Y95" s="1">
        <v>0</v>
      </c>
      <c r="Z95" s="1">
        <v>0</v>
      </c>
      <c r="AA95" s="1">
        <v>1.1850000073033501E-2</v>
      </c>
      <c r="AB95" s="1">
        <v>9.7349999968338513E-2</v>
      </c>
      <c r="AC95">
        <v>1</v>
      </c>
      <c r="AD95">
        <v>1</v>
      </c>
      <c r="AE95">
        <v>1</v>
      </c>
      <c r="AF95">
        <v>1</v>
      </c>
      <c r="AG95">
        <v>1</v>
      </c>
      <c r="AH95">
        <v>0</v>
      </c>
      <c r="AI95">
        <v>1</v>
      </c>
      <c r="AJ95">
        <v>1</v>
      </c>
      <c r="AK95">
        <v>1</v>
      </c>
      <c r="AL95">
        <v>0</v>
      </c>
      <c r="AM95">
        <v>1</v>
      </c>
      <c r="AN95">
        <v>1</v>
      </c>
      <c r="AO95">
        <v>1</v>
      </c>
      <c r="AP95">
        <v>1</v>
      </c>
      <c r="AQ95">
        <v>1</v>
      </c>
      <c r="AR95">
        <v>10</v>
      </c>
      <c r="AS95" t="s">
        <v>2259</v>
      </c>
    </row>
    <row r="96" spans="1:45" x14ac:dyDescent="0.25">
      <c r="A96">
        <v>27</v>
      </c>
      <c r="B96" t="str">
        <f>VLOOKUP(A96,'model groups'!$A$3:$C$86,2,FALSE)</f>
        <v>red grouper 1</v>
      </c>
      <c r="C96" t="s">
        <v>340</v>
      </c>
      <c r="D96" t="s">
        <v>341</v>
      </c>
      <c r="E96" t="s">
        <v>341</v>
      </c>
      <c r="F96" t="s">
        <v>342</v>
      </c>
      <c r="G96" t="s">
        <v>195</v>
      </c>
      <c r="H96" t="s">
        <v>196</v>
      </c>
      <c r="I96" t="s">
        <v>337</v>
      </c>
      <c r="J96" t="s">
        <v>343</v>
      </c>
      <c r="K96" t="s">
        <v>344</v>
      </c>
      <c r="L96">
        <v>0.32047807499999997</v>
      </c>
      <c r="M96">
        <v>3.9575220264999995</v>
      </c>
      <c r="N96">
        <v>82.875</v>
      </c>
      <c r="O96">
        <v>3.5649999999999999</v>
      </c>
      <c r="P96">
        <v>63.98</v>
      </c>
      <c r="Q96">
        <v>1.185605</v>
      </c>
      <c r="R96" t="s">
        <v>70</v>
      </c>
      <c r="S96" t="s">
        <v>77</v>
      </c>
      <c r="T96" t="str">
        <f t="shared" si="4"/>
        <v>reef</v>
      </c>
      <c r="U96" s="1">
        <v>0.15390000123154901</v>
      </c>
      <c r="V96" s="1">
        <v>0.70674999914189252</v>
      </c>
      <c r="W96" s="1">
        <v>2.6249999630137508E-2</v>
      </c>
      <c r="X96" s="1">
        <v>3.8999999550490007E-3</v>
      </c>
      <c r="Y96" s="1">
        <v>0</v>
      </c>
      <c r="Z96" s="1">
        <v>0</v>
      </c>
      <c r="AA96" s="1">
        <v>1.1850000073033501E-2</v>
      </c>
      <c r="AB96" s="1">
        <v>9.7349999968338513E-2</v>
      </c>
      <c r="AC96">
        <v>1</v>
      </c>
      <c r="AD96">
        <v>1</v>
      </c>
      <c r="AE96">
        <v>1</v>
      </c>
      <c r="AF96">
        <v>1</v>
      </c>
      <c r="AG96">
        <v>1</v>
      </c>
      <c r="AH96">
        <v>0</v>
      </c>
      <c r="AI96">
        <v>1</v>
      </c>
      <c r="AJ96">
        <v>1</v>
      </c>
      <c r="AK96">
        <v>1</v>
      </c>
      <c r="AL96">
        <v>0</v>
      </c>
      <c r="AM96">
        <v>1</v>
      </c>
      <c r="AN96">
        <v>1</v>
      </c>
      <c r="AO96">
        <v>1</v>
      </c>
      <c r="AP96">
        <v>1</v>
      </c>
      <c r="AQ96">
        <v>1</v>
      </c>
      <c r="AR96">
        <v>11</v>
      </c>
      <c r="AS96" t="s">
        <v>2261</v>
      </c>
    </row>
    <row r="97" spans="1:45" x14ac:dyDescent="0.25">
      <c r="A97">
        <v>28</v>
      </c>
      <c r="B97" t="str">
        <f>VLOOKUP(A97,'model groups'!$A$3:$C$86,2,FALSE)</f>
        <v>red grouper 2</v>
      </c>
      <c r="C97" t="s">
        <v>340</v>
      </c>
      <c r="D97" t="s">
        <v>341</v>
      </c>
      <c r="E97" t="s">
        <v>341</v>
      </c>
      <c r="F97" t="s">
        <v>342</v>
      </c>
      <c r="G97" t="s">
        <v>195</v>
      </c>
      <c r="H97" t="s">
        <v>196</v>
      </c>
      <c r="I97" t="s">
        <v>337</v>
      </c>
      <c r="J97" t="s">
        <v>343</v>
      </c>
      <c r="K97" t="s">
        <v>344</v>
      </c>
      <c r="L97">
        <v>0.32047807499999997</v>
      </c>
      <c r="M97">
        <v>3.9575220264999995</v>
      </c>
      <c r="N97">
        <v>82.875</v>
      </c>
      <c r="O97">
        <v>3.5649999999999999</v>
      </c>
      <c r="P97">
        <v>63.98</v>
      </c>
      <c r="Q97">
        <v>1.185605</v>
      </c>
      <c r="R97" t="s">
        <v>70</v>
      </c>
      <c r="S97" t="s">
        <v>77</v>
      </c>
      <c r="T97" t="str">
        <f t="shared" si="4"/>
        <v>reef</v>
      </c>
      <c r="U97" s="1">
        <v>0.15390000123154901</v>
      </c>
      <c r="V97" s="1">
        <v>0.70674999914189252</v>
      </c>
      <c r="W97" s="1">
        <v>2.6249999630137508E-2</v>
      </c>
      <c r="X97" s="1">
        <v>3.8999999550490007E-3</v>
      </c>
      <c r="Y97" s="1">
        <v>0</v>
      </c>
      <c r="Z97" s="1">
        <v>0</v>
      </c>
      <c r="AA97" s="1">
        <v>1.1850000073033501E-2</v>
      </c>
      <c r="AB97" s="1">
        <v>9.7349999968338513E-2</v>
      </c>
      <c r="AC97">
        <v>1</v>
      </c>
      <c r="AD97">
        <v>1</v>
      </c>
      <c r="AE97">
        <v>1</v>
      </c>
      <c r="AF97">
        <v>1</v>
      </c>
      <c r="AG97">
        <v>1</v>
      </c>
      <c r="AH97">
        <v>0</v>
      </c>
      <c r="AI97">
        <v>1</v>
      </c>
      <c r="AJ97">
        <v>1</v>
      </c>
      <c r="AK97">
        <v>1</v>
      </c>
      <c r="AL97">
        <v>0</v>
      </c>
      <c r="AM97">
        <v>1</v>
      </c>
      <c r="AN97">
        <v>1</v>
      </c>
      <c r="AO97">
        <v>1</v>
      </c>
      <c r="AP97">
        <v>1</v>
      </c>
      <c r="AQ97">
        <v>1</v>
      </c>
      <c r="AR97">
        <v>12</v>
      </c>
      <c r="AS97" t="s">
        <v>2263</v>
      </c>
    </row>
    <row r="98" spans="1:45" x14ac:dyDescent="0.25">
      <c r="A98">
        <v>29</v>
      </c>
      <c r="B98" t="str">
        <f>VLOOKUP(A98,'model groups'!$A$3:$C$86,2,FALSE)</f>
        <v>red grouper 3</v>
      </c>
      <c r="C98" t="s">
        <v>340</v>
      </c>
      <c r="D98" t="s">
        <v>341</v>
      </c>
      <c r="E98" t="s">
        <v>341</v>
      </c>
      <c r="F98" t="s">
        <v>342</v>
      </c>
      <c r="G98" t="s">
        <v>195</v>
      </c>
      <c r="H98" t="s">
        <v>196</v>
      </c>
      <c r="I98" t="s">
        <v>337</v>
      </c>
      <c r="J98" t="s">
        <v>343</v>
      </c>
      <c r="K98" t="s">
        <v>344</v>
      </c>
      <c r="L98">
        <v>0.32047807499999997</v>
      </c>
      <c r="M98">
        <v>3.9575220264999995</v>
      </c>
      <c r="N98">
        <v>82.875</v>
      </c>
      <c r="O98">
        <v>3.5649999999999999</v>
      </c>
      <c r="P98">
        <v>63.98</v>
      </c>
      <c r="Q98">
        <v>1.185605</v>
      </c>
      <c r="R98" t="s">
        <v>70</v>
      </c>
      <c r="S98" t="s">
        <v>77</v>
      </c>
      <c r="T98" t="str">
        <f t="shared" si="4"/>
        <v>reef</v>
      </c>
      <c r="U98" s="1">
        <v>0.15390000123154901</v>
      </c>
      <c r="V98" s="1">
        <v>0.70674999914189252</v>
      </c>
      <c r="W98" s="1">
        <v>2.6249999630137508E-2</v>
      </c>
      <c r="X98" s="1">
        <v>3.8999999550490007E-3</v>
      </c>
      <c r="Y98" s="1">
        <v>0</v>
      </c>
      <c r="Z98" s="1">
        <v>0</v>
      </c>
      <c r="AA98" s="1">
        <v>1.1850000073033501E-2</v>
      </c>
      <c r="AB98" s="1">
        <v>9.7349999968338513E-2</v>
      </c>
      <c r="AC98">
        <v>1</v>
      </c>
      <c r="AD98">
        <v>1</v>
      </c>
      <c r="AE98">
        <v>1</v>
      </c>
      <c r="AF98">
        <v>1</v>
      </c>
      <c r="AG98">
        <v>1</v>
      </c>
      <c r="AH98">
        <v>0</v>
      </c>
      <c r="AI98">
        <v>1</v>
      </c>
      <c r="AJ98">
        <v>1</v>
      </c>
      <c r="AK98">
        <v>1</v>
      </c>
      <c r="AL98">
        <v>0</v>
      </c>
      <c r="AM98">
        <v>1</v>
      </c>
      <c r="AN98">
        <v>1</v>
      </c>
      <c r="AO98">
        <v>1</v>
      </c>
      <c r="AP98">
        <v>1</v>
      </c>
      <c r="AQ98">
        <v>1</v>
      </c>
      <c r="AR98">
        <v>13</v>
      </c>
      <c r="AS98" t="s">
        <v>2265</v>
      </c>
    </row>
    <row r="99" spans="1:45" x14ac:dyDescent="0.25">
      <c r="A99">
        <v>30</v>
      </c>
      <c r="B99" t="str">
        <f>VLOOKUP(A99,'model groups'!$A$3:$C$86,2,FALSE)</f>
        <v>red grouper 4</v>
      </c>
      <c r="C99" t="s">
        <v>340</v>
      </c>
      <c r="D99" t="s">
        <v>341</v>
      </c>
      <c r="E99" t="s">
        <v>341</v>
      </c>
      <c r="F99" t="s">
        <v>342</v>
      </c>
      <c r="G99" t="s">
        <v>195</v>
      </c>
      <c r="H99" t="s">
        <v>196</v>
      </c>
      <c r="I99" t="s">
        <v>337</v>
      </c>
      <c r="J99" t="s">
        <v>343</v>
      </c>
      <c r="K99" t="s">
        <v>344</v>
      </c>
      <c r="L99">
        <v>0.32047807499999997</v>
      </c>
      <c r="M99">
        <v>3.9575220264999995</v>
      </c>
      <c r="N99">
        <v>82.875</v>
      </c>
      <c r="O99">
        <v>3.5649999999999999</v>
      </c>
      <c r="P99">
        <v>63.98</v>
      </c>
      <c r="Q99">
        <v>1.185605</v>
      </c>
      <c r="R99" t="s">
        <v>70</v>
      </c>
      <c r="S99" t="s">
        <v>77</v>
      </c>
      <c r="T99" t="str">
        <f t="shared" si="4"/>
        <v>reef</v>
      </c>
      <c r="U99" s="1">
        <v>0.15390000123154901</v>
      </c>
      <c r="V99" s="1">
        <v>0.70674999914189252</v>
      </c>
      <c r="W99" s="1">
        <v>2.6249999630137508E-2</v>
      </c>
      <c r="X99" s="1">
        <v>3.8999999550490007E-3</v>
      </c>
      <c r="Y99" s="1">
        <v>0</v>
      </c>
      <c r="Z99" s="1">
        <v>0</v>
      </c>
      <c r="AA99" s="1">
        <v>1.1850000073033501E-2</v>
      </c>
      <c r="AB99" s="1">
        <v>9.7349999968338513E-2</v>
      </c>
      <c r="AC99">
        <v>1</v>
      </c>
      <c r="AD99">
        <v>1</v>
      </c>
      <c r="AE99">
        <v>1</v>
      </c>
      <c r="AF99">
        <v>1</v>
      </c>
      <c r="AG99">
        <v>1</v>
      </c>
      <c r="AH99">
        <v>0</v>
      </c>
      <c r="AI99">
        <v>1</v>
      </c>
      <c r="AJ99">
        <v>1</v>
      </c>
      <c r="AK99">
        <v>1</v>
      </c>
      <c r="AL99">
        <v>0</v>
      </c>
      <c r="AM99">
        <v>1</v>
      </c>
      <c r="AN99">
        <v>1</v>
      </c>
      <c r="AO99">
        <v>1</v>
      </c>
      <c r="AP99">
        <v>1</v>
      </c>
      <c r="AQ99">
        <v>1</v>
      </c>
      <c r="AR99">
        <v>14</v>
      </c>
      <c r="AS99" t="s">
        <v>2267</v>
      </c>
    </row>
    <row r="100" spans="1:45" x14ac:dyDescent="0.25">
      <c r="A100">
        <v>31</v>
      </c>
      <c r="B100" t="str">
        <f>VLOOKUP(A100,'model groups'!$A$3:$C$86,2,FALSE)</f>
        <v>red grouper 5+</v>
      </c>
      <c r="C100" t="s">
        <v>340</v>
      </c>
      <c r="D100" t="s">
        <v>341</v>
      </c>
      <c r="E100" t="s">
        <v>341</v>
      </c>
      <c r="F100" t="s">
        <v>342</v>
      </c>
      <c r="G100" t="s">
        <v>195</v>
      </c>
      <c r="H100" t="s">
        <v>196</v>
      </c>
      <c r="I100" t="s">
        <v>337</v>
      </c>
      <c r="J100" t="s">
        <v>343</v>
      </c>
      <c r="K100" t="s">
        <v>344</v>
      </c>
      <c r="L100">
        <v>0.32047807499999997</v>
      </c>
      <c r="M100">
        <v>3.9575220264999995</v>
      </c>
      <c r="N100">
        <v>82.875</v>
      </c>
      <c r="O100">
        <v>3.5649999999999999</v>
      </c>
      <c r="P100">
        <v>63.98</v>
      </c>
      <c r="Q100">
        <v>1.185605</v>
      </c>
      <c r="R100" t="s">
        <v>70</v>
      </c>
      <c r="S100" t="s">
        <v>77</v>
      </c>
      <c r="T100" t="str">
        <f t="shared" si="4"/>
        <v>reef</v>
      </c>
      <c r="U100" s="1">
        <v>0.15390000123154901</v>
      </c>
      <c r="V100" s="1">
        <v>0.70674999914189252</v>
      </c>
      <c r="W100" s="1">
        <v>2.6249999630137508E-2</v>
      </c>
      <c r="X100" s="1">
        <v>3.8999999550490007E-3</v>
      </c>
      <c r="Y100" s="1">
        <v>0</v>
      </c>
      <c r="Z100" s="1">
        <v>0</v>
      </c>
      <c r="AA100" s="1">
        <v>1.1850000073033501E-2</v>
      </c>
      <c r="AB100" s="1">
        <v>9.7349999968338513E-2</v>
      </c>
      <c r="AC100">
        <v>1</v>
      </c>
      <c r="AD100">
        <v>1</v>
      </c>
      <c r="AE100">
        <v>1</v>
      </c>
      <c r="AF100">
        <v>1</v>
      </c>
      <c r="AG100">
        <v>1</v>
      </c>
      <c r="AH100">
        <v>0</v>
      </c>
      <c r="AI100">
        <v>1</v>
      </c>
      <c r="AJ100">
        <v>1</v>
      </c>
      <c r="AK100">
        <v>1</v>
      </c>
      <c r="AL100">
        <v>0</v>
      </c>
      <c r="AM100">
        <v>1</v>
      </c>
      <c r="AN100">
        <v>1</v>
      </c>
      <c r="AO100">
        <v>1</v>
      </c>
      <c r="AP100">
        <v>1</v>
      </c>
      <c r="AQ100">
        <v>1</v>
      </c>
      <c r="AR100">
        <v>15</v>
      </c>
      <c r="AS100" t="s">
        <v>2269</v>
      </c>
    </row>
    <row r="101" spans="1:45" x14ac:dyDescent="0.25">
      <c r="A101">
        <v>32</v>
      </c>
      <c r="B101" t="str">
        <f>VLOOKUP(A101,'model groups'!$A$3:$C$86,2,FALSE)</f>
        <v>black grouper</v>
      </c>
      <c r="C101" t="s">
        <v>345</v>
      </c>
      <c r="D101" t="s">
        <v>346</v>
      </c>
      <c r="E101" t="s">
        <v>346</v>
      </c>
      <c r="G101" t="s">
        <v>195</v>
      </c>
      <c r="H101" t="s">
        <v>196</v>
      </c>
      <c r="I101" t="s">
        <v>337</v>
      </c>
      <c r="J101" t="s">
        <v>338</v>
      </c>
      <c r="K101" t="s">
        <v>347</v>
      </c>
      <c r="L101">
        <v>0.32919199999999998</v>
      </c>
      <c r="M101">
        <v>3.490821145</v>
      </c>
      <c r="N101">
        <v>120</v>
      </c>
      <c r="O101">
        <v>4.41</v>
      </c>
      <c r="P101">
        <v>62.99</v>
      </c>
      <c r="Q101">
        <v>1.5244599999999999</v>
      </c>
      <c r="R101" t="s">
        <v>70</v>
      </c>
      <c r="S101" t="s">
        <v>77</v>
      </c>
      <c r="T101" t="str">
        <f t="shared" si="4"/>
        <v>no</v>
      </c>
      <c r="U101" s="1">
        <v>0.90649999797678504</v>
      </c>
      <c r="V101" s="1">
        <v>9.3500002023214956E-2</v>
      </c>
      <c r="W101" s="1">
        <v>0</v>
      </c>
      <c r="X101" s="1">
        <v>0</v>
      </c>
      <c r="Y101" s="1">
        <v>0</v>
      </c>
      <c r="Z101" s="1">
        <v>0</v>
      </c>
      <c r="AA101" s="1">
        <v>0</v>
      </c>
      <c r="AB101" s="1">
        <v>0</v>
      </c>
      <c r="AC101">
        <v>0</v>
      </c>
      <c r="AD101">
        <v>0</v>
      </c>
      <c r="AE101">
        <v>0</v>
      </c>
      <c r="AF101">
        <v>0</v>
      </c>
      <c r="AG101">
        <v>0</v>
      </c>
      <c r="AH101">
        <v>0</v>
      </c>
      <c r="AI101">
        <v>0</v>
      </c>
      <c r="AJ101">
        <v>0</v>
      </c>
      <c r="AK101">
        <v>0</v>
      </c>
      <c r="AL101">
        <v>0</v>
      </c>
      <c r="AM101">
        <v>0</v>
      </c>
      <c r="AN101">
        <v>0</v>
      </c>
      <c r="AO101">
        <v>1</v>
      </c>
      <c r="AP101">
        <v>0</v>
      </c>
      <c r="AQ101">
        <v>1</v>
      </c>
      <c r="AR101">
        <v>16</v>
      </c>
      <c r="AS101" t="s">
        <v>2592</v>
      </c>
    </row>
    <row r="102" spans="1:45" x14ac:dyDescent="0.25">
      <c r="A102">
        <v>33</v>
      </c>
      <c r="B102" t="str">
        <f>VLOOKUP(A102,'model groups'!$A$3:$C$86,2,FALSE)</f>
        <v>yellowedge grouper</v>
      </c>
      <c r="C102" t="s">
        <v>348</v>
      </c>
      <c r="D102" t="s">
        <v>349</v>
      </c>
      <c r="E102" t="s">
        <v>349</v>
      </c>
      <c r="F102" t="s">
        <v>350</v>
      </c>
      <c r="G102" t="s">
        <v>195</v>
      </c>
      <c r="H102" t="s">
        <v>196</v>
      </c>
      <c r="I102" t="s">
        <v>337</v>
      </c>
      <c r="J102" t="s">
        <v>343</v>
      </c>
      <c r="K102" t="s">
        <v>351</v>
      </c>
      <c r="U102" s="1"/>
      <c r="V102" s="1"/>
      <c r="W102" s="1"/>
      <c r="X102" s="1"/>
      <c r="Y102" s="1"/>
      <c r="Z102" s="1"/>
      <c r="AA102" s="1"/>
      <c r="AB102" s="1"/>
      <c r="AQ102">
        <v>1</v>
      </c>
      <c r="AR102">
        <v>0</v>
      </c>
      <c r="AS102" t="s">
        <v>2600</v>
      </c>
    </row>
    <row r="103" spans="1:45" x14ac:dyDescent="0.25">
      <c r="A103">
        <v>33</v>
      </c>
      <c r="B103" t="str">
        <f>VLOOKUP(A103,'model groups'!$A$3:$C$86,2,FALSE)</f>
        <v>yellowedge grouper</v>
      </c>
      <c r="C103" t="s">
        <v>348</v>
      </c>
      <c r="D103" t="s">
        <v>352</v>
      </c>
      <c r="E103" t="s">
        <v>349</v>
      </c>
      <c r="F103" t="s">
        <v>350</v>
      </c>
      <c r="G103" t="s">
        <v>195</v>
      </c>
      <c r="H103" t="s">
        <v>196</v>
      </c>
      <c r="I103" t="s">
        <v>337</v>
      </c>
      <c r="J103" t="s">
        <v>343</v>
      </c>
      <c r="T103" t="str">
        <f>IF(OR(AK103=1,AN103=1),"reef","no")</f>
        <v>no</v>
      </c>
      <c r="U103" s="1"/>
      <c r="V103" s="1"/>
      <c r="W103" s="1"/>
      <c r="X103" s="1"/>
      <c r="Y103" s="1"/>
      <c r="Z103" s="1"/>
      <c r="AA103" s="1"/>
      <c r="AB103" s="1"/>
      <c r="AG103">
        <v>0</v>
      </c>
      <c r="AH103">
        <v>0</v>
      </c>
      <c r="AI103">
        <v>0</v>
      </c>
      <c r="AJ103">
        <v>1</v>
      </c>
      <c r="AK103">
        <v>0</v>
      </c>
      <c r="AL103">
        <v>0</v>
      </c>
      <c r="AM103">
        <v>0</v>
      </c>
      <c r="AN103">
        <v>0</v>
      </c>
      <c r="AO103">
        <v>0</v>
      </c>
      <c r="AP103">
        <v>0</v>
      </c>
      <c r="AQ103">
        <v>1</v>
      </c>
      <c r="AR103">
        <v>0</v>
      </c>
      <c r="AS103" t="s">
        <v>2600</v>
      </c>
    </row>
    <row r="104" spans="1:45" x14ac:dyDescent="0.25">
      <c r="A104">
        <v>34</v>
      </c>
      <c r="B104" t="str">
        <f>VLOOKUP(A104,'model groups'!$A$3:$C$86,2,FALSE)</f>
        <v>scamp</v>
      </c>
      <c r="C104" t="s">
        <v>353</v>
      </c>
      <c r="D104" t="s">
        <v>354</v>
      </c>
      <c r="E104" t="s">
        <v>354</v>
      </c>
      <c r="F104" t="s">
        <v>355</v>
      </c>
      <c r="G104" t="s">
        <v>195</v>
      </c>
      <c r="H104" t="s">
        <v>196</v>
      </c>
      <c r="I104" t="s">
        <v>337</v>
      </c>
      <c r="J104" t="s">
        <v>338</v>
      </c>
      <c r="K104" t="s">
        <v>356</v>
      </c>
      <c r="L104">
        <v>0.23096230000000001</v>
      </c>
      <c r="M104">
        <v>4.3784796909999999</v>
      </c>
      <c r="N104">
        <v>77.5</v>
      </c>
      <c r="O104">
        <v>4.4000000000000004</v>
      </c>
      <c r="P104">
        <v>68.92</v>
      </c>
      <c r="Q104">
        <v>1.5080249999999999</v>
      </c>
      <c r="R104" t="s">
        <v>50</v>
      </c>
      <c r="S104" t="s">
        <v>77</v>
      </c>
      <c r="T104" t="str">
        <f>IF(OR(AK104=1,AN104=1),"reef","no")</f>
        <v>reef</v>
      </c>
      <c r="U104" s="1">
        <v>0.97</v>
      </c>
      <c r="V104" s="1">
        <v>0.03</v>
      </c>
      <c r="W104" s="1">
        <v>0</v>
      </c>
      <c r="X104" s="1">
        <v>0</v>
      </c>
      <c r="Y104" s="1">
        <v>0</v>
      </c>
      <c r="Z104" s="1">
        <v>0</v>
      </c>
      <c r="AA104" s="1">
        <v>0</v>
      </c>
      <c r="AB104" s="1">
        <v>0</v>
      </c>
      <c r="AC104">
        <v>0</v>
      </c>
      <c r="AD104">
        <v>0</v>
      </c>
      <c r="AE104">
        <v>0</v>
      </c>
      <c r="AF104">
        <v>0</v>
      </c>
      <c r="AG104">
        <v>0</v>
      </c>
      <c r="AH104">
        <v>0</v>
      </c>
      <c r="AI104">
        <v>0</v>
      </c>
      <c r="AJ104">
        <v>1</v>
      </c>
      <c r="AK104">
        <v>1</v>
      </c>
      <c r="AL104">
        <v>0</v>
      </c>
      <c r="AM104">
        <v>0</v>
      </c>
      <c r="AN104">
        <v>1</v>
      </c>
      <c r="AO104">
        <v>1</v>
      </c>
      <c r="AP104">
        <v>0</v>
      </c>
      <c r="AQ104">
        <v>1</v>
      </c>
      <c r="AR104">
        <v>16</v>
      </c>
      <c r="AS104" t="s">
        <v>2592</v>
      </c>
    </row>
    <row r="105" spans="1:45" x14ac:dyDescent="0.25">
      <c r="A105">
        <v>35</v>
      </c>
      <c r="B105" t="str">
        <f>VLOOKUP(A105,'model groups'!$A$3:$C$86,2,FALSE)</f>
        <v>goliath grouper</v>
      </c>
      <c r="C105" t="s">
        <v>357</v>
      </c>
      <c r="D105" t="str">
        <f>UPPER(C105)</f>
        <v>EPINEPHELUS ITAJARA</v>
      </c>
      <c r="E105" t="str">
        <f>D105</f>
        <v>EPINEPHELUS ITAJARA</v>
      </c>
      <c r="G105" t="s">
        <v>195</v>
      </c>
      <c r="H105" t="s">
        <v>196</v>
      </c>
      <c r="I105" t="s">
        <v>337</v>
      </c>
      <c r="J105" t="s">
        <v>343</v>
      </c>
      <c r="K105" t="s">
        <v>358</v>
      </c>
      <c r="U105" s="1"/>
      <c r="V105" s="1"/>
      <c r="W105" s="1"/>
      <c r="X105" s="1"/>
      <c r="Y105" s="1"/>
      <c r="Z105" s="1"/>
      <c r="AA105" s="1"/>
      <c r="AB105" s="1"/>
      <c r="AQ105">
        <v>1</v>
      </c>
      <c r="AR105">
        <v>16</v>
      </c>
      <c r="AS105" t="s">
        <v>2592</v>
      </c>
    </row>
    <row r="106" spans="1:45" x14ac:dyDescent="0.25">
      <c r="A106">
        <v>35</v>
      </c>
      <c r="B106" t="str">
        <f>VLOOKUP(A106,'model groups'!$A$3:$C$86,2,FALSE)</f>
        <v>goliath grouper</v>
      </c>
      <c r="C106" t="s">
        <v>357</v>
      </c>
      <c r="D106" t="s">
        <v>359</v>
      </c>
      <c r="E106" t="s">
        <v>359</v>
      </c>
      <c r="G106" t="s">
        <v>195</v>
      </c>
      <c r="H106" t="s">
        <v>196</v>
      </c>
      <c r="I106" t="s">
        <v>337</v>
      </c>
      <c r="J106" t="s">
        <v>343</v>
      </c>
      <c r="K106" t="s">
        <v>360</v>
      </c>
      <c r="L106">
        <v>0.22145619999999999</v>
      </c>
      <c r="M106">
        <v>2.2244548405</v>
      </c>
      <c r="N106">
        <v>201</v>
      </c>
      <c r="O106">
        <v>4.03</v>
      </c>
      <c r="P106">
        <v>69.540000000000006</v>
      </c>
      <c r="Q106">
        <v>1.18781</v>
      </c>
      <c r="R106" t="s">
        <v>50</v>
      </c>
      <c r="S106" t="s">
        <v>77</v>
      </c>
      <c r="T106" t="str">
        <f>IF(OR(AK106=1,AN106=1),"reef","no")</f>
        <v>no</v>
      </c>
      <c r="U106">
        <v>0.150358321356966</v>
      </c>
      <c r="V106">
        <v>0.82722548491793502</v>
      </c>
      <c r="W106">
        <v>0</v>
      </c>
      <c r="X106">
        <v>0</v>
      </c>
      <c r="Y106">
        <v>0</v>
      </c>
      <c r="Z106">
        <v>0</v>
      </c>
      <c r="AA106">
        <v>2.2416193725098899E-2</v>
      </c>
      <c r="AB106">
        <v>0</v>
      </c>
      <c r="AC106">
        <v>1</v>
      </c>
      <c r="AD106">
        <v>1</v>
      </c>
      <c r="AE106" t="s">
        <v>231</v>
      </c>
      <c r="AF106" t="s">
        <v>361</v>
      </c>
      <c r="AG106">
        <v>0</v>
      </c>
      <c r="AH106">
        <v>0</v>
      </c>
      <c r="AI106">
        <v>0</v>
      </c>
      <c r="AJ106">
        <v>0</v>
      </c>
      <c r="AK106">
        <v>0</v>
      </c>
      <c r="AL106">
        <v>0</v>
      </c>
      <c r="AM106">
        <v>0</v>
      </c>
      <c r="AN106">
        <v>0</v>
      </c>
      <c r="AO106">
        <v>0</v>
      </c>
      <c r="AP106">
        <v>0</v>
      </c>
      <c r="AQ106">
        <v>1</v>
      </c>
      <c r="AR106">
        <v>16</v>
      </c>
      <c r="AS106" t="s">
        <v>2592</v>
      </c>
    </row>
    <row r="107" spans="1:45" x14ac:dyDescent="0.25">
      <c r="A107">
        <v>36</v>
      </c>
      <c r="B107" t="str">
        <f>VLOOKUP(A107,'model groups'!$A$3:$C$86,2,FALSE)</f>
        <v>other SWG</v>
      </c>
      <c r="C107" t="s">
        <v>71</v>
      </c>
      <c r="D107" t="s">
        <v>362</v>
      </c>
      <c r="E107" t="s">
        <v>363</v>
      </c>
      <c r="G107" t="s">
        <v>195</v>
      </c>
      <c r="H107" t="s">
        <v>196</v>
      </c>
      <c r="I107" t="s">
        <v>337</v>
      </c>
      <c r="J107" t="s">
        <v>71</v>
      </c>
      <c r="K107" t="s">
        <v>71</v>
      </c>
      <c r="L107" t="s">
        <v>71</v>
      </c>
      <c r="M107" t="s">
        <v>71</v>
      </c>
      <c r="N107" t="s">
        <v>71</v>
      </c>
      <c r="O107" t="s">
        <v>71</v>
      </c>
      <c r="P107" t="s">
        <v>71</v>
      </c>
      <c r="Q107" t="s">
        <v>71</v>
      </c>
      <c r="R107" t="s">
        <v>71</v>
      </c>
      <c r="S107" t="s">
        <v>71</v>
      </c>
      <c r="U107" t="s">
        <v>71</v>
      </c>
      <c r="V107" t="s">
        <v>71</v>
      </c>
      <c r="W107" t="s">
        <v>71</v>
      </c>
      <c r="X107" t="s">
        <v>71</v>
      </c>
      <c r="Y107" t="s">
        <v>71</v>
      </c>
      <c r="Z107" t="s">
        <v>71</v>
      </c>
      <c r="AA107" t="s">
        <v>71</v>
      </c>
      <c r="AB107" t="s">
        <v>71</v>
      </c>
      <c r="AC107" t="s">
        <v>71</v>
      </c>
      <c r="AD107" t="s">
        <v>71</v>
      </c>
      <c r="AE107" t="s">
        <v>71</v>
      </c>
      <c r="AF107" t="s">
        <v>71</v>
      </c>
      <c r="AG107">
        <v>0</v>
      </c>
      <c r="AH107">
        <v>0</v>
      </c>
      <c r="AI107">
        <v>0</v>
      </c>
      <c r="AJ107">
        <v>0</v>
      </c>
      <c r="AK107">
        <v>1</v>
      </c>
      <c r="AL107">
        <v>0</v>
      </c>
      <c r="AM107">
        <v>0</v>
      </c>
      <c r="AN107">
        <v>0</v>
      </c>
      <c r="AO107">
        <v>0</v>
      </c>
      <c r="AP107">
        <v>0</v>
      </c>
      <c r="AQ107">
        <v>0</v>
      </c>
      <c r="AR107">
        <v>16</v>
      </c>
      <c r="AS107" t="s">
        <v>2592</v>
      </c>
    </row>
    <row r="108" spans="1:45" x14ac:dyDescent="0.25">
      <c r="A108">
        <v>36</v>
      </c>
      <c r="B108" t="str">
        <f>VLOOKUP(A108,'model groups'!$A$3:$C$86,2,FALSE)</f>
        <v>other SWG</v>
      </c>
      <c r="C108" t="s">
        <v>364</v>
      </c>
      <c r="D108" t="s">
        <v>365</v>
      </c>
      <c r="E108" t="s">
        <v>365</v>
      </c>
      <c r="G108" t="s">
        <v>195</v>
      </c>
      <c r="H108" t="s">
        <v>196</v>
      </c>
      <c r="I108" t="s">
        <v>337</v>
      </c>
      <c r="J108" t="s">
        <v>366</v>
      </c>
      <c r="K108" t="s">
        <v>367</v>
      </c>
      <c r="L108">
        <v>0.23413100000000001</v>
      </c>
      <c r="M108">
        <v>7.9051699585000001</v>
      </c>
      <c r="N108">
        <v>42</v>
      </c>
      <c r="O108">
        <v>4.17</v>
      </c>
      <c r="P108">
        <v>33.39</v>
      </c>
      <c r="Q108">
        <v>2.4293100000000001</v>
      </c>
      <c r="R108" t="s">
        <v>70</v>
      </c>
      <c r="S108" t="s">
        <v>77</v>
      </c>
      <c r="T108" t="str">
        <f>IF(OR(AK108=1,AN108=1),"reef","no")</f>
        <v>reef</v>
      </c>
      <c r="U108" s="1">
        <v>0.66199999788655994</v>
      </c>
      <c r="V108" s="1">
        <v>0.30000000096400004</v>
      </c>
      <c r="W108" s="1">
        <v>0</v>
      </c>
      <c r="X108" s="1">
        <v>0</v>
      </c>
      <c r="Y108" s="1">
        <v>0</v>
      </c>
      <c r="Z108" s="1">
        <v>0</v>
      </c>
      <c r="AA108" s="1">
        <v>3.8000001149440049E-2</v>
      </c>
      <c r="AB108" s="1">
        <v>0</v>
      </c>
      <c r="AC108">
        <v>0</v>
      </c>
      <c r="AD108">
        <v>1</v>
      </c>
      <c r="AE108">
        <v>1</v>
      </c>
      <c r="AF108">
        <v>1</v>
      </c>
      <c r="AG108">
        <v>0</v>
      </c>
      <c r="AH108">
        <v>0</v>
      </c>
      <c r="AI108">
        <v>0</v>
      </c>
      <c r="AJ108">
        <v>0</v>
      </c>
      <c r="AK108">
        <v>1</v>
      </c>
      <c r="AL108">
        <v>0</v>
      </c>
      <c r="AM108">
        <v>0</v>
      </c>
      <c r="AN108">
        <v>0</v>
      </c>
      <c r="AO108">
        <v>0</v>
      </c>
      <c r="AP108">
        <v>0</v>
      </c>
      <c r="AQ108">
        <v>0</v>
      </c>
      <c r="AR108">
        <v>16</v>
      </c>
      <c r="AS108" t="s">
        <v>2592</v>
      </c>
    </row>
    <row r="109" spans="1:45" x14ac:dyDescent="0.25">
      <c r="A109">
        <v>36</v>
      </c>
      <c r="B109" t="str">
        <f>VLOOKUP(A109,'model groups'!$A$3:$C$86,2,FALSE)</f>
        <v>other SWG</v>
      </c>
      <c r="C109" t="s">
        <v>364</v>
      </c>
      <c r="D109" t="s">
        <v>365</v>
      </c>
      <c r="E109" t="s">
        <v>368</v>
      </c>
      <c r="G109" t="s">
        <v>195</v>
      </c>
      <c r="H109" t="s">
        <v>196</v>
      </c>
      <c r="I109" t="s">
        <v>337</v>
      </c>
      <c r="J109" t="s">
        <v>366</v>
      </c>
      <c r="K109" t="s">
        <v>367</v>
      </c>
      <c r="L109">
        <v>0.23413100000000001</v>
      </c>
      <c r="M109">
        <v>7.9051699585000001</v>
      </c>
      <c r="N109">
        <v>42</v>
      </c>
      <c r="O109">
        <v>4.17</v>
      </c>
      <c r="P109">
        <v>33.39</v>
      </c>
      <c r="Q109">
        <v>2.4293100000000001</v>
      </c>
      <c r="R109" t="s">
        <v>70</v>
      </c>
      <c r="S109" t="s">
        <v>77</v>
      </c>
      <c r="T109" t="str">
        <f>IF(OR(AK109=1,AN109=1),"reef","no")</f>
        <v>reef</v>
      </c>
      <c r="U109" s="1">
        <v>0.66199999788655994</v>
      </c>
      <c r="V109" s="1">
        <v>0.30000000096400004</v>
      </c>
      <c r="W109" s="1">
        <v>0</v>
      </c>
      <c r="X109" s="1">
        <v>0</v>
      </c>
      <c r="Y109" s="1">
        <v>0</v>
      </c>
      <c r="Z109" s="1">
        <v>0</v>
      </c>
      <c r="AA109" s="1">
        <v>3.8000001149440049E-2</v>
      </c>
      <c r="AB109" s="1">
        <v>0</v>
      </c>
      <c r="AC109">
        <v>0</v>
      </c>
      <c r="AD109">
        <v>1</v>
      </c>
      <c r="AE109">
        <v>1</v>
      </c>
      <c r="AF109">
        <v>1</v>
      </c>
      <c r="AG109">
        <v>0</v>
      </c>
      <c r="AH109">
        <v>0</v>
      </c>
      <c r="AI109">
        <v>0</v>
      </c>
      <c r="AJ109">
        <v>0</v>
      </c>
      <c r="AK109">
        <v>0</v>
      </c>
      <c r="AL109">
        <v>0</v>
      </c>
      <c r="AM109">
        <v>0</v>
      </c>
      <c r="AN109">
        <v>1</v>
      </c>
      <c r="AO109">
        <v>0</v>
      </c>
      <c r="AP109">
        <v>0</v>
      </c>
      <c r="AQ109">
        <v>1</v>
      </c>
      <c r="AR109">
        <v>16</v>
      </c>
      <c r="AS109" t="s">
        <v>2592</v>
      </c>
    </row>
    <row r="110" spans="1:45" x14ac:dyDescent="0.25">
      <c r="A110">
        <v>36</v>
      </c>
      <c r="B110" t="str">
        <f>VLOOKUP(A110,'model groups'!$A$3:$C$86,2,FALSE)</f>
        <v>other SWG</v>
      </c>
      <c r="C110" t="s">
        <v>369</v>
      </c>
      <c r="D110" t="s">
        <v>370</v>
      </c>
      <c r="E110" t="s">
        <v>370</v>
      </c>
      <c r="G110" t="s">
        <v>195</v>
      </c>
      <c r="H110" t="s">
        <v>196</v>
      </c>
      <c r="I110" t="s">
        <v>337</v>
      </c>
      <c r="J110" t="s">
        <v>343</v>
      </c>
      <c r="K110" t="s">
        <v>371</v>
      </c>
      <c r="L110">
        <v>0.56065033399999997</v>
      </c>
      <c r="M110">
        <v>4.5503008299999994</v>
      </c>
      <c r="N110">
        <v>63.232898640000002</v>
      </c>
      <c r="O110">
        <v>3.5833333330000001</v>
      </c>
      <c r="P110">
        <v>53.54</v>
      </c>
      <c r="Q110">
        <v>1.1998225</v>
      </c>
      <c r="R110" t="s">
        <v>70</v>
      </c>
      <c r="S110" t="s">
        <v>109</v>
      </c>
      <c r="T110" t="str">
        <f>IF(OR(AK110=1,AN110=1),"reef","no")</f>
        <v>reef</v>
      </c>
      <c r="U110" s="1">
        <v>0.30050000566827006</v>
      </c>
      <c r="V110" s="1">
        <v>0.62549999304376991</v>
      </c>
      <c r="W110" s="1">
        <v>5.0000000627000003E-2</v>
      </c>
      <c r="X110" s="1">
        <v>0</v>
      </c>
      <c r="Y110" s="1">
        <v>0</v>
      </c>
      <c r="Z110" s="1">
        <v>0</v>
      </c>
      <c r="AA110" s="1">
        <v>2.4000000660960006E-2</v>
      </c>
      <c r="AB110" s="1">
        <v>0</v>
      </c>
      <c r="AC110">
        <v>0</v>
      </c>
      <c r="AD110">
        <v>1</v>
      </c>
      <c r="AE110">
        <v>0</v>
      </c>
      <c r="AF110">
        <v>1</v>
      </c>
      <c r="AG110">
        <v>0</v>
      </c>
      <c r="AH110">
        <v>0</v>
      </c>
      <c r="AI110">
        <v>0</v>
      </c>
      <c r="AJ110">
        <v>0</v>
      </c>
      <c r="AK110">
        <v>0</v>
      </c>
      <c r="AL110">
        <v>0</v>
      </c>
      <c r="AM110">
        <v>0</v>
      </c>
      <c r="AN110">
        <v>1</v>
      </c>
      <c r="AO110">
        <v>0</v>
      </c>
      <c r="AP110">
        <v>0</v>
      </c>
      <c r="AQ110">
        <v>1</v>
      </c>
      <c r="AR110">
        <v>16</v>
      </c>
      <c r="AS110" t="s">
        <v>2592</v>
      </c>
    </row>
    <row r="111" spans="1:45" x14ac:dyDescent="0.25">
      <c r="A111">
        <v>36</v>
      </c>
      <c r="B111" t="str">
        <f>VLOOKUP(A111,'model groups'!$A$3:$C$86,2,FALSE)</f>
        <v>other SWG</v>
      </c>
      <c r="C111" t="s">
        <v>372</v>
      </c>
      <c r="D111" t="s">
        <v>373</v>
      </c>
      <c r="E111" t="s">
        <v>373</v>
      </c>
      <c r="G111" t="s">
        <v>195</v>
      </c>
      <c r="H111" t="s">
        <v>196</v>
      </c>
      <c r="I111" t="s">
        <v>337</v>
      </c>
      <c r="J111" t="s">
        <v>343</v>
      </c>
      <c r="K111" t="s">
        <v>374</v>
      </c>
      <c r="L111">
        <v>0.39256600000000003</v>
      </c>
      <c r="M111">
        <v>5.2395750275000008</v>
      </c>
      <c r="N111">
        <v>42</v>
      </c>
      <c r="O111">
        <v>3.9533333329999998</v>
      </c>
      <c r="P111">
        <v>61.18</v>
      </c>
      <c r="Q111">
        <v>0.97657499999999997</v>
      </c>
      <c r="R111" t="s">
        <v>70</v>
      </c>
      <c r="S111" t="s">
        <v>77</v>
      </c>
      <c r="T111" t="str">
        <f>IF(OR(AK111=1,AN111=1),"reef","no")</f>
        <v>reef</v>
      </c>
      <c r="U111" s="1">
        <v>0.2110000010359</v>
      </c>
      <c r="V111" s="1">
        <v>0.69900000014310004</v>
      </c>
      <c r="W111" s="1">
        <v>0</v>
      </c>
      <c r="X111" s="1">
        <v>0</v>
      </c>
      <c r="Y111" s="1">
        <v>3.4999999541500008E-2</v>
      </c>
      <c r="Z111" s="1">
        <v>0</v>
      </c>
      <c r="AA111" s="1">
        <v>5.4999999279500007E-2</v>
      </c>
      <c r="AB111" s="1">
        <v>0</v>
      </c>
      <c r="AC111">
        <v>0</v>
      </c>
      <c r="AD111">
        <v>1</v>
      </c>
      <c r="AE111">
        <v>0</v>
      </c>
      <c r="AF111">
        <v>1</v>
      </c>
      <c r="AG111">
        <v>0</v>
      </c>
      <c r="AH111">
        <v>0</v>
      </c>
      <c r="AI111">
        <v>0</v>
      </c>
      <c r="AJ111">
        <v>0</v>
      </c>
      <c r="AK111">
        <v>0</v>
      </c>
      <c r="AL111">
        <v>0</v>
      </c>
      <c r="AM111">
        <v>0</v>
      </c>
      <c r="AN111">
        <v>1</v>
      </c>
      <c r="AO111">
        <v>0</v>
      </c>
      <c r="AP111">
        <v>0</v>
      </c>
      <c r="AQ111">
        <v>1</v>
      </c>
      <c r="AR111">
        <v>16</v>
      </c>
      <c r="AS111" t="s">
        <v>2592</v>
      </c>
    </row>
    <row r="112" spans="1:45" x14ac:dyDescent="0.25">
      <c r="A112">
        <v>36</v>
      </c>
      <c r="B112" t="str">
        <f>VLOOKUP(A112,'model groups'!$A$3:$C$86,2,FALSE)</f>
        <v>other SWG</v>
      </c>
      <c r="C112" t="s">
        <v>375</v>
      </c>
      <c r="D112" t="s">
        <v>376</v>
      </c>
      <c r="E112" t="s">
        <v>376</v>
      </c>
      <c r="G112" t="s">
        <v>241</v>
      </c>
      <c r="H112" t="s">
        <v>196</v>
      </c>
      <c r="I112" t="s">
        <v>337</v>
      </c>
      <c r="J112" t="s">
        <v>338</v>
      </c>
      <c r="AR112">
        <v>16</v>
      </c>
      <c r="AS112" t="s">
        <v>2592</v>
      </c>
    </row>
    <row r="113" spans="1:45" x14ac:dyDescent="0.25">
      <c r="A113">
        <v>36</v>
      </c>
      <c r="B113" t="str">
        <f>VLOOKUP(A113,'model groups'!$A$3:$C$86,2,FALSE)</f>
        <v>other SWG</v>
      </c>
      <c r="C113" t="s">
        <v>377</v>
      </c>
      <c r="D113" t="s">
        <v>378</v>
      </c>
      <c r="E113" t="s">
        <v>378</v>
      </c>
      <c r="G113" t="s">
        <v>241</v>
      </c>
      <c r="H113" t="s">
        <v>196</v>
      </c>
      <c r="I113" t="s">
        <v>337</v>
      </c>
      <c r="J113" t="s">
        <v>338</v>
      </c>
      <c r="AR113">
        <v>16</v>
      </c>
      <c r="AS113" t="s">
        <v>2592</v>
      </c>
    </row>
    <row r="114" spans="1:45" x14ac:dyDescent="0.25">
      <c r="A114">
        <v>36</v>
      </c>
      <c r="B114" t="str">
        <f>VLOOKUP(A114,'model groups'!$A$3:$C$86,2,FALSE)</f>
        <v>other SWG</v>
      </c>
      <c r="C114" t="s">
        <v>379</v>
      </c>
      <c r="D114" t="s">
        <v>380</v>
      </c>
      <c r="E114" t="s">
        <v>380</v>
      </c>
      <c r="G114" t="s">
        <v>241</v>
      </c>
      <c r="H114" t="s">
        <v>196</v>
      </c>
      <c r="I114" t="s">
        <v>337</v>
      </c>
      <c r="J114" t="s">
        <v>338</v>
      </c>
      <c r="AR114">
        <v>16</v>
      </c>
      <c r="AS114" t="s">
        <v>2592</v>
      </c>
    </row>
    <row r="115" spans="1:45" x14ac:dyDescent="0.25">
      <c r="A115">
        <v>36</v>
      </c>
      <c r="B115" t="str">
        <f>VLOOKUP(A115,'model groups'!$A$3:$C$86,2,FALSE)</f>
        <v>other SWG</v>
      </c>
      <c r="D115" t="s">
        <v>381</v>
      </c>
      <c r="E115" t="s">
        <v>363</v>
      </c>
      <c r="G115" t="s">
        <v>195</v>
      </c>
      <c r="H115" t="s">
        <v>196</v>
      </c>
      <c r="I115" t="s">
        <v>337</v>
      </c>
      <c r="T115" t="str">
        <f>IF(OR(AK115=1,AN115=1),"reef","no")</f>
        <v>reef</v>
      </c>
      <c r="U115" s="1"/>
      <c r="V115" s="1"/>
      <c r="W115" s="1"/>
      <c r="X115" s="1"/>
      <c r="Y115" s="1"/>
      <c r="Z115" s="1"/>
      <c r="AA115" s="1"/>
      <c r="AB115" s="1"/>
      <c r="AG115">
        <v>0</v>
      </c>
      <c r="AH115">
        <v>0</v>
      </c>
      <c r="AI115">
        <v>0</v>
      </c>
      <c r="AJ115">
        <v>0</v>
      </c>
      <c r="AK115">
        <v>1</v>
      </c>
      <c r="AL115">
        <v>0</v>
      </c>
      <c r="AM115">
        <v>0</v>
      </c>
      <c r="AN115">
        <v>0</v>
      </c>
      <c r="AO115">
        <v>0</v>
      </c>
      <c r="AP115">
        <v>0</v>
      </c>
      <c r="AQ115">
        <v>0</v>
      </c>
      <c r="AR115">
        <v>16</v>
      </c>
      <c r="AS115" t="s">
        <v>2592</v>
      </c>
    </row>
    <row r="116" spans="1:45" x14ac:dyDescent="0.25">
      <c r="A116">
        <v>37</v>
      </c>
      <c r="B116" t="str">
        <f>VLOOKUP(A116,'model groups'!$A$3:$C$86,2,FALSE)</f>
        <v>other DWG</v>
      </c>
      <c r="C116" t="s">
        <v>382</v>
      </c>
      <c r="D116" t="s">
        <v>383</v>
      </c>
      <c r="E116" t="s">
        <v>383</v>
      </c>
      <c r="G116" t="s">
        <v>195</v>
      </c>
      <c r="H116" t="s">
        <v>196</v>
      </c>
      <c r="I116" t="s">
        <v>337</v>
      </c>
      <c r="J116" t="s">
        <v>343</v>
      </c>
      <c r="K116" t="s">
        <v>384</v>
      </c>
      <c r="L116">
        <v>0.23413100000000001</v>
      </c>
      <c r="M116">
        <v>3.9203391225000002</v>
      </c>
      <c r="N116">
        <v>97</v>
      </c>
      <c r="O116">
        <v>3.8323333329999998</v>
      </c>
      <c r="P116">
        <v>60.25</v>
      </c>
      <c r="Q116">
        <v>1.4578949999999999</v>
      </c>
      <c r="R116" t="s">
        <v>70</v>
      </c>
      <c r="S116" t="s">
        <v>109</v>
      </c>
      <c r="T116" t="str">
        <f>IF(OR(AK116=1,AN116=1),"reef","no")</f>
        <v>no</v>
      </c>
      <c r="U116">
        <v>0.228297537260814</v>
      </c>
      <c r="V116">
        <v>0.63648006584656203</v>
      </c>
      <c r="W116">
        <v>1.5306870058226601E-2</v>
      </c>
      <c r="X116">
        <v>7.8290876363388304E-4</v>
      </c>
      <c r="Y116">
        <v>8.0900572643659591E-3</v>
      </c>
      <c r="Z116">
        <v>0</v>
      </c>
      <c r="AA116">
        <v>3.4056531469006203E-2</v>
      </c>
      <c r="AB116">
        <v>7.6986029337392098E-2</v>
      </c>
      <c r="AC116">
        <v>1</v>
      </c>
      <c r="AD116">
        <v>1</v>
      </c>
      <c r="AE116" t="s">
        <v>361</v>
      </c>
      <c r="AF116" t="s">
        <v>361</v>
      </c>
      <c r="AG116">
        <v>0</v>
      </c>
      <c r="AH116">
        <v>0</v>
      </c>
      <c r="AI116">
        <v>0</v>
      </c>
      <c r="AJ116">
        <v>0</v>
      </c>
      <c r="AK116">
        <v>0</v>
      </c>
      <c r="AL116">
        <v>0</v>
      </c>
      <c r="AM116">
        <v>0</v>
      </c>
      <c r="AN116">
        <v>0</v>
      </c>
      <c r="AO116">
        <v>0</v>
      </c>
      <c r="AP116">
        <v>0</v>
      </c>
      <c r="AQ116">
        <v>1</v>
      </c>
      <c r="AR116">
        <v>0</v>
      </c>
      <c r="AS116" t="s">
        <v>2600</v>
      </c>
    </row>
    <row r="117" spans="1:45" x14ac:dyDescent="0.25">
      <c r="A117">
        <v>37</v>
      </c>
      <c r="B117" t="str">
        <f>VLOOKUP(A117,'model groups'!$A$3:$C$86,2,FALSE)</f>
        <v>other DWG</v>
      </c>
      <c r="C117" t="s">
        <v>385</v>
      </c>
      <c r="D117" t="s">
        <v>386</v>
      </c>
      <c r="E117" t="s">
        <v>386</v>
      </c>
      <c r="G117" t="s">
        <v>195</v>
      </c>
      <c r="H117" t="s">
        <v>196</v>
      </c>
      <c r="I117" t="s">
        <v>337</v>
      </c>
      <c r="J117" t="s">
        <v>343</v>
      </c>
      <c r="K117" t="s">
        <v>387</v>
      </c>
      <c r="L117" s="4" t="s">
        <v>71</v>
      </c>
      <c r="M117" s="4" t="s">
        <v>71</v>
      </c>
      <c r="N117" s="4" t="s">
        <v>71</v>
      </c>
      <c r="O117" s="4" t="s">
        <v>71</v>
      </c>
      <c r="P117" s="4" t="s">
        <v>71</v>
      </c>
      <c r="Q117" s="4" t="s">
        <v>71</v>
      </c>
      <c r="R117" t="s">
        <v>71</v>
      </c>
      <c r="S117" t="s">
        <v>71</v>
      </c>
      <c r="T117" t="str">
        <f>IF(OR(AK117=1,AN117=1),"reef","no")</f>
        <v>no</v>
      </c>
      <c r="U117" t="s">
        <v>71</v>
      </c>
      <c r="V117" t="s">
        <v>71</v>
      </c>
      <c r="W117" t="s">
        <v>71</v>
      </c>
      <c r="X117" t="s">
        <v>71</v>
      </c>
      <c r="Y117" t="s">
        <v>71</v>
      </c>
      <c r="Z117" t="s">
        <v>71</v>
      </c>
      <c r="AA117" t="s">
        <v>71</v>
      </c>
      <c r="AB117" t="s">
        <v>71</v>
      </c>
      <c r="AC117" t="s">
        <v>71</v>
      </c>
      <c r="AD117" t="s">
        <v>71</v>
      </c>
      <c r="AE117" t="s">
        <v>71</v>
      </c>
      <c r="AF117" t="s">
        <v>71</v>
      </c>
      <c r="AG117">
        <v>0</v>
      </c>
      <c r="AH117">
        <v>0</v>
      </c>
      <c r="AI117">
        <v>0</v>
      </c>
      <c r="AJ117">
        <v>0</v>
      </c>
      <c r="AK117">
        <v>0</v>
      </c>
      <c r="AL117">
        <v>0</v>
      </c>
      <c r="AM117">
        <v>0</v>
      </c>
      <c r="AN117">
        <v>0</v>
      </c>
      <c r="AO117">
        <v>0</v>
      </c>
      <c r="AP117">
        <v>0</v>
      </c>
      <c r="AQ117">
        <v>1</v>
      </c>
      <c r="AR117">
        <v>0</v>
      </c>
      <c r="AS117" t="s">
        <v>2600</v>
      </c>
    </row>
    <row r="118" spans="1:45" x14ac:dyDescent="0.25">
      <c r="A118">
        <v>37</v>
      </c>
      <c r="B118" t="str">
        <f>VLOOKUP(A118,'model groups'!$A$3:$C$86,2,FALSE)</f>
        <v>other DWG</v>
      </c>
      <c r="C118" t="s">
        <v>388</v>
      </c>
      <c r="D118" t="s">
        <v>389</v>
      </c>
      <c r="E118" t="s">
        <v>389</v>
      </c>
      <c r="G118" t="s">
        <v>195</v>
      </c>
      <c r="H118" t="s">
        <v>196</v>
      </c>
      <c r="I118" t="s">
        <v>337</v>
      </c>
      <c r="J118" t="s">
        <v>343</v>
      </c>
      <c r="K118" t="s">
        <v>390</v>
      </c>
      <c r="L118" s="4" t="s">
        <v>71</v>
      </c>
      <c r="M118" s="4" t="s">
        <v>71</v>
      </c>
      <c r="N118" s="4" t="s">
        <v>71</v>
      </c>
      <c r="O118" s="4" t="s">
        <v>71</v>
      </c>
      <c r="P118" s="4" t="s">
        <v>71</v>
      </c>
      <c r="Q118" s="4" t="s">
        <v>71</v>
      </c>
      <c r="R118" t="s">
        <v>71</v>
      </c>
      <c r="S118" t="s">
        <v>71</v>
      </c>
      <c r="T118" t="str">
        <f>IF(OR(AK118=1,AN118=1),"reef","no")</f>
        <v>no</v>
      </c>
      <c r="U118" t="s">
        <v>71</v>
      </c>
      <c r="V118" t="s">
        <v>71</v>
      </c>
      <c r="W118" t="s">
        <v>71</v>
      </c>
      <c r="X118" t="s">
        <v>71</v>
      </c>
      <c r="Y118" t="s">
        <v>71</v>
      </c>
      <c r="Z118" t="s">
        <v>71</v>
      </c>
      <c r="AA118" t="s">
        <v>71</v>
      </c>
      <c r="AB118" t="s">
        <v>71</v>
      </c>
      <c r="AC118" t="s">
        <v>71</v>
      </c>
      <c r="AD118" t="s">
        <v>71</v>
      </c>
      <c r="AE118" t="s">
        <v>71</v>
      </c>
      <c r="AF118" t="s">
        <v>71</v>
      </c>
      <c r="AG118">
        <v>0</v>
      </c>
      <c r="AH118">
        <v>0</v>
      </c>
      <c r="AI118">
        <v>0</v>
      </c>
      <c r="AJ118">
        <v>0</v>
      </c>
      <c r="AK118">
        <v>0</v>
      </c>
      <c r="AL118">
        <v>0</v>
      </c>
      <c r="AM118">
        <v>0</v>
      </c>
      <c r="AN118">
        <v>0</v>
      </c>
      <c r="AO118">
        <v>0</v>
      </c>
      <c r="AP118">
        <v>0</v>
      </c>
      <c r="AQ118">
        <v>1</v>
      </c>
      <c r="AR118">
        <v>0</v>
      </c>
      <c r="AS118" t="s">
        <v>2600</v>
      </c>
    </row>
    <row r="119" spans="1:45" x14ac:dyDescent="0.25">
      <c r="A119">
        <v>37</v>
      </c>
      <c r="B119" t="str">
        <f>VLOOKUP(A119,'model groups'!$A$3:$C$86,2,FALSE)</f>
        <v>other DWG</v>
      </c>
      <c r="C119" t="s">
        <v>391</v>
      </c>
      <c r="D119" t="s">
        <v>392</v>
      </c>
      <c r="E119" t="s">
        <v>392</v>
      </c>
      <c r="G119" t="s">
        <v>195</v>
      </c>
      <c r="H119" t="s">
        <v>196</v>
      </c>
      <c r="I119" t="s">
        <v>337</v>
      </c>
      <c r="J119" t="s">
        <v>393</v>
      </c>
      <c r="K119" t="s">
        <v>394</v>
      </c>
      <c r="L119">
        <v>0.123</v>
      </c>
      <c r="M119">
        <v>2.9252650529999999</v>
      </c>
      <c r="N119">
        <v>129</v>
      </c>
      <c r="O119">
        <v>4.04</v>
      </c>
      <c r="P119">
        <v>64.14</v>
      </c>
      <c r="Q119">
        <v>1.2620279999999999</v>
      </c>
      <c r="R119" t="s">
        <v>70</v>
      </c>
      <c r="S119" t="s">
        <v>109</v>
      </c>
      <c r="T119" t="str">
        <f>IF(OR(AK119=1,AN119=1),"reef","no")</f>
        <v>reef</v>
      </c>
      <c r="U119" s="1">
        <v>0</v>
      </c>
      <c r="V119" s="1">
        <v>0</v>
      </c>
      <c r="W119" s="1">
        <v>0</v>
      </c>
      <c r="X119" s="1">
        <v>0</v>
      </c>
      <c r="Y119" s="1">
        <v>0</v>
      </c>
      <c r="Z119" s="1">
        <v>0</v>
      </c>
      <c r="AA119" s="3">
        <v>1</v>
      </c>
      <c r="AB119" s="1">
        <v>0</v>
      </c>
      <c r="AC119">
        <v>0</v>
      </c>
      <c r="AD119">
        <v>1</v>
      </c>
      <c r="AE119">
        <v>0</v>
      </c>
      <c r="AF119">
        <v>0</v>
      </c>
      <c r="AG119">
        <v>0</v>
      </c>
      <c r="AH119">
        <v>0</v>
      </c>
      <c r="AI119">
        <v>0</v>
      </c>
      <c r="AJ119">
        <v>0</v>
      </c>
      <c r="AK119">
        <v>0</v>
      </c>
      <c r="AL119">
        <v>0</v>
      </c>
      <c r="AM119">
        <v>0</v>
      </c>
      <c r="AN119">
        <v>1</v>
      </c>
      <c r="AO119">
        <v>0</v>
      </c>
      <c r="AP119">
        <v>0</v>
      </c>
      <c r="AQ119">
        <v>0</v>
      </c>
      <c r="AR119">
        <v>0</v>
      </c>
      <c r="AS119" t="s">
        <v>2600</v>
      </c>
    </row>
    <row r="120" spans="1:45" x14ac:dyDescent="0.25">
      <c r="A120">
        <v>37</v>
      </c>
      <c r="B120" t="str">
        <f>VLOOKUP(A120,'model groups'!$A$3:$C$86,2,FALSE)</f>
        <v>other DWG</v>
      </c>
      <c r="C120" t="s">
        <v>395</v>
      </c>
      <c r="D120" t="s">
        <v>396</v>
      </c>
      <c r="E120" t="s">
        <v>396</v>
      </c>
      <c r="G120" t="s">
        <v>241</v>
      </c>
      <c r="H120" t="s">
        <v>196</v>
      </c>
      <c r="I120" t="s">
        <v>337</v>
      </c>
      <c r="J120" t="s">
        <v>393</v>
      </c>
      <c r="AR120">
        <v>0</v>
      </c>
      <c r="AS120" t="s">
        <v>2600</v>
      </c>
    </row>
    <row r="121" spans="1:45" x14ac:dyDescent="0.25">
      <c r="A121">
        <v>38</v>
      </c>
      <c r="B121" t="str">
        <f>VLOOKUP(A121,'model groups'!$A$3:$C$86,2,FALSE)</f>
        <v>blueline tilefish</v>
      </c>
      <c r="C121" t="s">
        <v>397</v>
      </c>
      <c r="D121" t="s">
        <v>398</v>
      </c>
      <c r="E121" t="s">
        <v>398</v>
      </c>
      <c r="G121" t="s">
        <v>195</v>
      </c>
      <c r="H121" t="s">
        <v>196</v>
      </c>
      <c r="I121" t="s">
        <v>399</v>
      </c>
      <c r="J121" t="s">
        <v>400</v>
      </c>
      <c r="K121" t="s">
        <v>401</v>
      </c>
      <c r="L121">
        <v>0.25631189999999998</v>
      </c>
      <c r="M121">
        <v>5.4378865195000001</v>
      </c>
      <c r="N121">
        <v>81.400000000000006</v>
      </c>
      <c r="O121">
        <v>3.496666667</v>
      </c>
      <c r="P121">
        <v>69.63</v>
      </c>
      <c r="Q121">
        <v>1.9509399999999999</v>
      </c>
      <c r="R121" t="s">
        <v>70</v>
      </c>
      <c r="S121" t="s">
        <v>109</v>
      </c>
      <c r="T121" t="str">
        <f>IF(OR(AK121=1,AN121=1),"reef","no")</f>
        <v>no</v>
      </c>
      <c r="U121" s="1">
        <v>0.32199999992030004</v>
      </c>
      <c r="V121" s="1">
        <v>0.64399999994059998</v>
      </c>
      <c r="W121" s="1">
        <v>0</v>
      </c>
      <c r="X121" s="1">
        <v>0</v>
      </c>
      <c r="Y121" s="1">
        <v>0</v>
      </c>
      <c r="Z121" s="1">
        <v>0</v>
      </c>
      <c r="AA121" s="1">
        <v>3.4000000139099998E-2</v>
      </c>
      <c r="AB121" s="1">
        <v>0</v>
      </c>
      <c r="AC121">
        <v>0</v>
      </c>
      <c r="AD121">
        <v>0</v>
      </c>
      <c r="AE121">
        <v>0</v>
      </c>
      <c r="AF121">
        <v>0</v>
      </c>
      <c r="AG121">
        <v>0</v>
      </c>
      <c r="AH121">
        <v>0</v>
      </c>
      <c r="AI121">
        <v>0</v>
      </c>
      <c r="AJ121">
        <v>1</v>
      </c>
      <c r="AK121">
        <v>0</v>
      </c>
      <c r="AL121">
        <v>0</v>
      </c>
      <c r="AM121">
        <v>0</v>
      </c>
      <c r="AN121">
        <v>0</v>
      </c>
      <c r="AO121">
        <v>0</v>
      </c>
      <c r="AP121">
        <v>0</v>
      </c>
      <c r="AQ121">
        <v>1</v>
      </c>
      <c r="AR121">
        <v>0</v>
      </c>
      <c r="AS121" t="s">
        <v>2600</v>
      </c>
    </row>
    <row r="122" spans="1:45" x14ac:dyDescent="0.25">
      <c r="A122">
        <v>39</v>
      </c>
      <c r="B122" t="str">
        <f>VLOOKUP(A122,'model groups'!$A$3:$C$86,2,FALSE)</f>
        <v>golden tilefish</v>
      </c>
      <c r="C122" t="s">
        <v>402</v>
      </c>
      <c r="D122" t="s">
        <v>403</v>
      </c>
      <c r="E122" t="s">
        <v>403</v>
      </c>
      <c r="F122" t="s">
        <v>404</v>
      </c>
      <c r="G122" t="s">
        <v>195</v>
      </c>
      <c r="H122" t="s">
        <v>196</v>
      </c>
      <c r="I122" t="s">
        <v>399</v>
      </c>
      <c r="J122" t="s">
        <v>405</v>
      </c>
      <c r="K122" t="s">
        <v>406</v>
      </c>
      <c r="L122">
        <v>0.140625</v>
      </c>
      <c r="M122">
        <v>3.1134678994999998</v>
      </c>
      <c r="N122">
        <v>128.10590350000001</v>
      </c>
      <c r="O122">
        <v>3.6033333330000001</v>
      </c>
      <c r="P122">
        <v>69.8</v>
      </c>
      <c r="Q122">
        <v>1.2767500000000001</v>
      </c>
      <c r="R122" t="s">
        <v>70</v>
      </c>
      <c r="S122" t="s">
        <v>109</v>
      </c>
      <c r="T122" t="str">
        <f>IF(OR(AK122=1,AN122=1),"reef","no")</f>
        <v>no</v>
      </c>
      <c r="U122" s="1">
        <v>0</v>
      </c>
      <c r="V122" s="1">
        <v>0.21399999930906</v>
      </c>
      <c r="W122" s="1">
        <v>2.8999999812910009E-2</v>
      </c>
      <c r="X122" s="1">
        <v>0</v>
      </c>
      <c r="Y122" s="1">
        <v>0</v>
      </c>
      <c r="Z122" s="1">
        <v>0</v>
      </c>
      <c r="AA122" s="1">
        <v>0.75200000107407994</v>
      </c>
      <c r="AB122" s="1">
        <v>4.9999998039500079E-3</v>
      </c>
      <c r="AC122">
        <v>0</v>
      </c>
      <c r="AD122">
        <v>0</v>
      </c>
      <c r="AE122">
        <v>0</v>
      </c>
      <c r="AF122">
        <v>0</v>
      </c>
      <c r="AG122">
        <v>0</v>
      </c>
      <c r="AH122">
        <v>0</v>
      </c>
      <c r="AI122">
        <v>0</v>
      </c>
      <c r="AJ122">
        <v>1</v>
      </c>
      <c r="AK122">
        <v>0</v>
      </c>
      <c r="AL122">
        <v>0</v>
      </c>
      <c r="AM122">
        <v>0</v>
      </c>
      <c r="AN122">
        <v>0</v>
      </c>
      <c r="AO122">
        <v>0</v>
      </c>
      <c r="AP122">
        <v>0</v>
      </c>
      <c r="AQ122">
        <v>1</v>
      </c>
      <c r="AR122">
        <v>0</v>
      </c>
      <c r="AS122" t="s">
        <v>2600</v>
      </c>
    </row>
    <row r="123" spans="1:45" x14ac:dyDescent="0.25">
      <c r="A123">
        <v>41</v>
      </c>
      <c r="B123" t="str">
        <f>VLOOKUP(A123,'model groups'!$A$3:$C$86,2,FALSE)</f>
        <v>lionfish adult</v>
      </c>
      <c r="D123" t="s">
        <v>407</v>
      </c>
      <c r="E123" t="s">
        <v>407</v>
      </c>
      <c r="G123" t="s">
        <v>241</v>
      </c>
      <c r="H123" t="s">
        <v>196</v>
      </c>
      <c r="I123" t="s">
        <v>408</v>
      </c>
      <c r="J123" t="s">
        <v>409</v>
      </c>
      <c r="K123" t="s">
        <v>410</v>
      </c>
      <c r="AR123">
        <v>0</v>
      </c>
      <c r="AS123" t="s">
        <v>2600</v>
      </c>
    </row>
    <row r="124" spans="1:45" x14ac:dyDescent="0.25">
      <c r="A124">
        <v>41</v>
      </c>
      <c r="B124" t="str">
        <f>VLOOKUP(A124,'model groups'!$A$3:$C$86,2,FALSE)</f>
        <v>lionfish adult</v>
      </c>
      <c r="C124" t="s">
        <v>411</v>
      </c>
      <c r="D124" t="s">
        <v>412</v>
      </c>
      <c r="E124" t="s">
        <v>412</v>
      </c>
      <c r="G124" t="s">
        <v>195</v>
      </c>
      <c r="H124" t="s">
        <v>413</v>
      </c>
      <c r="I124" t="s">
        <v>408</v>
      </c>
      <c r="J124" t="s">
        <v>414</v>
      </c>
      <c r="K124" t="s">
        <v>2539</v>
      </c>
      <c r="T124" t="str">
        <f>IF(OR(AK124=1,AN124=1),"reef","no")</f>
        <v>reef</v>
      </c>
      <c r="U124" s="1"/>
      <c r="V124" s="1"/>
      <c r="W124" s="1"/>
      <c r="X124" s="1"/>
      <c r="Y124" s="1"/>
      <c r="Z124" s="1"/>
      <c r="AA124" s="1"/>
      <c r="AB124" s="1"/>
      <c r="AG124">
        <v>1</v>
      </c>
      <c r="AH124">
        <v>0</v>
      </c>
      <c r="AI124">
        <v>0</v>
      </c>
      <c r="AJ124">
        <v>0</v>
      </c>
      <c r="AK124">
        <v>0</v>
      </c>
      <c r="AL124">
        <v>0</v>
      </c>
      <c r="AM124">
        <v>0</v>
      </c>
      <c r="AN124">
        <v>1</v>
      </c>
      <c r="AO124">
        <v>0</v>
      </c>
      <c r="AP124">
        <v>0</v>
      </c>
      <c r="AQ124">
        <v>1</v>
      </c>
      <c r="AR124">
        <v>0</v>
      </c>
      <c r="AS124" t="s">
        <v>2600</v>
      </c>
    </row>
    <row r="125" spans="1:45" x14ac:dyDescent="0.25">
      <c r="A125">
        <v>41</v>
      </c>
      <c r="B125" t="str">
        <f>VLOOKUP(A125,'model groups'!$A$3:$C$86,2,FALSE)</f>
        <v>lionfish adult</v>
      </c>
      <c r="D125" t="s">
        <v>415</v>
      </c>
      <c r="E125" t="s">
        <v>416</v>
      </c>
      <c r="G125" t="s">
        <v>195</v>
      </c>
      <c r="H125" t="s">
        <v>196</v>
      </c>
      <c r="I125" t="s">
        <v>408</v>
      </c>
      <c r="J125" t="s">
        <v>414</v>
      </c>
      <c r="T125" t="str">
        <f>IF(OR(AK125=1,AN125=1),"reef","no")</f>
        <v>reef</v>
      </c>
      <c r="U125" s="1"/>
      <c r="V125" s="1"/>
      <c r="W125" s="1"/>
      <c r="X125" s="1"/>
      <c r="Y125" s="1"/>
      <c r="Z125" s="1"/>
      <c r="AA125" s="1"/>
      <c r="AB125" s="1"/>
      <c r="AG125">
        <v>0</v>
      </c>
      <c r="AH125">
        <v>0</v>
      </c>
      <c r="AI125">
        <v>0</v>
      </c>
      <c r="AJ125">
        <v>0</v>
      </c>
      <c r="AK125">
        <v>1</v>
      </c>
      <c r="AL125">
        <v>0</v>
      </c>
      <c r="AM125">
        <v>0</v>
      </c>
      <c r="AN125">
        <v>0</v>
      </c>
      <c r="AO125">
        <v>0</v>
      </c>
      <c r="AP125">
        <v>0</v>
      </c>
      <c r="AQ125">
        <v>0</v>
      </c>
      <c r="AR125">
        <v>0</v>
      </c>
      <c r="AS125" t="s">
        <v>2600</v>
      </c>
    </row>
    <row r="126" spans="1:45" x14ac:dyDescent="0.25">
      <c r="A126">
        <v>42</v>
      </c>
      <c r="B126" t="str">
        <f>VLOOKUP(A126,'model groups'!$A$3:$C$86,2,FALSE)</f>
        <v>gray triggerfish</v>
      </c>
      <c r="C126" t="s">
        <v>71</v>
      </c>
      <c r="D126" t="s">
        <v>417</v>
      </c>
      <c r="E126" t="s">
        <v>417</v>
      </c>
      <c r="F126" t="s">
        <v>418</v>
      </c>
      <c r="G126" t="s">
        <v>195</v>
      </c>
      <c r="H126" t="s">
        <v>419</v>
      </c>
      <c r="I126" t="s">
        <v>420</v>
      </c>
      <c r="J126" t="s">
        <v>71</v>
      </c>
      <c r="K126" t="s">
        <v>421</v>
      </c>
      <c r="L126" t="s">
        <v>71</v>
      </c>
      <c r="M126" t="s">
        <v>71</v>
      </c>
      <c r="N126" t="s">
        <v>71</v>
      </c>
      <c r="O126" t="s">
        <v>71</v>
      </c>
      <c r="P126" t="s">
        <v>71</v>
      </c>
      <c r="Q126" t="s">
        <v>71</v>
      </c>
      <c r="R126" t="s">
        <v>71</v>
      </c>
      <c r="S126" t="s">
        <v>71</v>
      </c>
      <c r="U126" t="s">
        <v>71</v>
      </c>
      <c r="V126" t="s">
        <v>71</v>
      </c>
      <c r="W126" t="s">
        <v>71</v>
      </c>
      <c r="X126" t="s">
        <v>71</v>
      </c>
      <c r="Y126" t="s">
        <v>71</v>
      </c>
      <c r="Z126" t="s">
        <v>71</v>
      </c>
      <c r="AA126" t="s">
        <v>71</v>
      </c>
      <c r="AB126" t="s">
        <v>71</v>
      </c>
      <c r="AC126" t="s">
        <v>71</v>
      </c>
      <c r="AD126" t="s">
        <v>71</v>
      </c>
      <c r="AE126" t="s">
        <v>71</v>
      </c>
      <c r="AF126" t="s">
        <v>71</v>
      </c>
      <c r="AG126">
        <v>0</v>
      </c>
      <c r="AH126">
        <v>0</v>
      </c>
      <c r="AI126">
        <v>0</v>
      </c>
      <c r="AJ126">
        <v>0</v>
      </c>
      <c r="AK126">
        <v>0</v>
      </c>
      <c r="AL126">
        <v>0</v>
      </c>
      <c r="AM126">
        <v>0</v>
      </c>
      <c r="AN126">
        <v>0</v>
      </c>
      <c r="AO126">
        <v>0</v>
      </c>
      <c r="AP126">
        <v>0</v>
      </c>
      <c r="AQ126">
        <v>1</v>
      </c>
      <c r="AR126">
        <v>0</v>
      </c>
      <c r="AS126" t="s">
        <v>2600</v>
      </c>
    </row>
    <row r="127" spans="1:45" x14ac:dyDescent="0.25">
      <c r="A127">
        <v>42</v>
      </c>
      <c r="B127" t="str">
        <f>VLOOKUP(A127,'model groups'!$A$3:$C$86,2,FALSE)</f>
        <v>gray triggerfish</v>
      </c>
      <c r="C127" t="s">
        <v>422</v>
      </c>
      <c r="D127" t="s">
        <v>423</v>
      </c>
      <c r="E127" t="s">
        <v>423</v>
      </c>
      <c r="F127" t="s">
        <v>418</v>
      </c>
      <c r="G127" t="s">
        <v>195</v>
      </c>
      <c r="H127" t="s">
        <v>419</v>
      </c>
      <c r="I127" t="s">
        <v>420</v>
      </c>
      <c r="J127" t="s">
        <v>424</v>
      </c>
      <c r="K127" t="s">
        <v>425</v>
      </c>
      <c r="L127">
        <v>0.52666570800000001</v>
      </c>
      <c r="M127">
        <v>4.8903003595000003</v>
      </c>
      <c r="N127">
        <v>62.212642070000001</v>
      </c>
      <c r="O127">
        <v>3.6766666670000001</v>
      </c>
      <c r="P127">
        <v>48.63</v>
      </c>
      <c r="Q127">
        <v>1.602070667</v>
      </c>
      <c r="R127" t="s">
        <v>70</v>
      </c>
      <c r="S127" t="s">
        <v>77</v>
      </c>
      <c r="T127" t="str">
        <f>IF(OR(AK127=1,AN127=1),"reef","no")</f>
        <v>reef</v>
      </c>
      <c r="U127" s="1">
        <v>2.4999999969500001E-3</v>
      </c>
      <c r="V127" s="1">
        <v>0.377899999138962</v>
      </c>
      <c r="W127" s="1">
        <v>0</v>
      </c>
      <c r="X127" s="1">
        <v>1.5299999691334E-2</v>
      </c>
      <c r="Y127" s="1">
        <v>0</v>
      </c>
      <c r="Z127" s="1">
        <v>0</v>
      </c>
      <c r="AA127" s="3">
        <v>0.58260000043922799</v>
      </c>
      <c r="AB127" s="1">
        <v>2.1700000733525997E-2</v>
      </c>
      <c r="AC127">
        <v>0</v>
      </c>
      <c r="AD127">
        <v>0</v>
      </c>
      <c r="AE127">
        <v>0</v>
      </c>
      <c r="AF127">
        <v>1</v>
      </c>
      <c r="AG127">
        <v>1</v>
      </c>
      <c r="AH127">
        <v>0</v>
      </c>
      <c r="AI127">
        <v>1</v>
      </c>
      <c r="AJ127">
        <v>0</v>
      </c>
      <c r="AK127">
        <v>1</v>
      </c>
      <c r="AL127">
        <v>0</v>
      </c>
      <c r="AM127">
        <v>1</v>
      </c>
      <c r="AN127">
        <v>1</v>
      </c>
      <c r="AO127">
        <v>1</v>
      </c>
      <c r="AP127">
        <v>1</v>
      </c>
      <c r="AQ127">
        <v>1</v>
      </c>
      <c r="AR127">
        <v>0</v>
      </c>
      <c r="AS127" t="s">
        <v>2600</v>
      </c>
    </row>
    <row r="128" spans="1:45" x14ac:dyDescent="0.25">
      <c r="A128">
        <v>43</v>
      </c>
      <c r="B128" t="str">
        <f>VLOOKUP(A128,'model groups'!$A$3:$C$86,2,FALSE)</f>
        <v>red porgy</v>
      </c>
      <c r="C128" t="s">
        <v>426</v>
      </c>
      <c r="D128" t="s">
        <v>427</v>
      </c>
      <c r="E128" t="s">
        <v>427</v>
      </c>
      <c r="G128" t="s">
        <v>195</v>
      </c>
      <c r="H128" t="s">
        <v>196</v>
      </c>
      <c r="I128" t="s">
        <v>428</v>
      </c>
      <c r="J128" t="s">
        <v>429</v>
      </c>
      <c r="K128" t="s">
        <v>430</v>
      </c>
      <c r="L128">
        <v>0.51931400000000005</v>
      </c>
      <c r="M128">
        <v>6.1531104504999998</v>
      </c>
      <c r="N128">
        <v>44.15</v>
      </c>
      <c r="O128">
        <v>3.6766666670000001</v>
      </c>
      <c r="P128">
        <v>66.42</v>
      </c>
      <c r="Q128">
        <v>2.0197099999999999</v>
      </c>
      <c r="R128" t="s">
        <v>70</v>
      </c>
      <c r="S128" t="s">
        <v>77</v>
      </c>
      <c r="T128" t="str">
        <f>IF(OR(AK128=1,AN128=1),"reef","no")</f>
        <v>reef</v>
      </c>
      <c r="U128" s="1">
        <v>0.32793606630597716</v>
      </c>
      <c r="V128" s="1">
        <v>0.43467862296394871</v>
      </c>
      <c r="W128" s="1">
        <v>0</v>
      </c>
      <c r="X128" s="1">
        <v>2.5583545981036943E-3</v>
      </c>
      <c r="Y128" s="1">
        <v>3.875032369637228E-3</v>
      </c>
      <c r="Z128" s="1">
        <v>5.039208599415064E-2</v>
      </c>
      <c r="AA128" s="1">
        <v>0.18055983776818257</v>
      </c>
      <c r="AB128" s="1">
        <v>0</v>
      </c>
      <c r="AC128">
        <v>1</v>
      </c>
      <c r="AD128">
        <v>1</v>
      </c>
      <c r="AE128">
        <v>1</v>
      </c>
      <c r="AF128">
        <v>0</v>
      </c>
      <c r="AG128">
        <v>1</v>
      </c>
      <c r="AH128">
        <v>0</v>
      </c>
      <c r="AI128">
        <v>1</v>
      </c>
      <c r="AJ128">
        <v>0</v>
      </c>
      <c r="AK128">
        <v>1</v>
      </c>
      <c r="AL128">
        <v>0</v>
      </c>
      <c r="AM128">
        <v>0</v>
      </c>
      <c r="AN128">
        <v>1</v>
      </c>
      <c r="AO128">
        <v>0</v>
      </c>
      <c r="AP128">
        <v>0</v>
      </c>
      <c r="AQ128">
        <v>1</v>
      </c>
      <c r="AR128">
        <v>0</v>
      </c>
      <c r="AS128" t="s">
        <v>2600</v>
      </c>
    </row>
    <row r="129" spans="1:45" x14ac:dyDescent="0.25">
      <c r="A129">
        <v>43</v>
      </c>
      <c r="B129" t="str">
        <f>VLOOKUP(A129,'model groups'!$A$3:$C$86,2,FALSE)</f>
        <v>red porgy</v>
      </c>
      <c r="C129" t="s">
        <v>426</v>
      </c>
      <c r="D129" t="s">
        <v>427</v>
      </c>
      <c r="E129" t="s">
        <v>431</v>
      </c>
      <c r="G129" t="s">
        <v>195</v>
      </c>
      <c r="H129" t="s">
        <v>196</v>
      </c>
      <c r="I129" t="s">
        <v>428</v>
      </c>
      <c r="J129" t="s">
        <v>429</v>
      </c>
      <c r="K129" t="s">
        <v>430</v>
      </c>
      <c r="L129">
        <v>0.51931400000000005</v>
      </c>
      <c r="M129">
        <v>6.1531104504999998</v>
      </c>
      <c r="N129">
        <v>44.15</v>
      </c>
      <c r="O129">
        <v>3.6766666670000001</v>
      </c>
      <c r="P129">
        <v>66.42</v>
      </c>
      <c r="Q129">
        <v>2.0197099999999999</v>
      </c>
      <c r="R129" t="s">
        <v>70</v>
      </c>
      <c r="S129" t="s">
        <v>77</v>
      </c>
      <c r="T129" t="str">
        <f>IF(OR(AK129=1,AN129=1),"reef","no")</f>
        <v>no</v>
      </c>
      <c r="U129" s="1">
        <v>0.32793606630597716</v>
      </c>
      <c r="V129" s="1">
        <v>0.43467862296394871</v>
      </c>
      <c r="W129" s="1">
        <v>0</v>
      </c>
      <c r="X129" s="1">
        <v>2.5583545981036943E-3</v>
      </c>
      <c r="Y129" s="1">
        <v>3.875032369637228E-3</v>
      </c>
      <c r="Z129" s="1">
        <v>5.039208599415064E-2</v>
      </c>
      <c r="AA129" s="1">
        <v>0.18055983776818257</v>
      </c>
      <c r="AB129" s="1">
        <v>0</v>
      </c>
      <c r="AC129">
        <v>1</v>
      </c>
      <c r="AD129">
        <v>1</v>
      </c>
      <c r="AE129">
        <v>1</v>
      </c>
      <c r="AF129">
        <v>0</v>
      </c>
      <c r="AG129">
        <v>0</v>
      </c>
      <c r="AH129">
        <v>0</v>
      </c>
      <c r="AI129">
        <v>0</v>
      </c>
      <c r="AJ129">
        <v>0</v>
      </c>
      <c r="AK129">
        <v>0</v>
      </c>
      <c r="AL129">
        <v>0</v>
      </c>
      <c r="AM129">
        <v>0</v>
      </c>
      <c r="AN129">
        <v>0</v>
      </c>
      <c r="AO129">
        <v>1</v>
      </c>
      <c r="AP129">
        <v>1</v>
      </c>
      <c r="AQ129">
        <v>0</v>
      </c>
      <c r="AR129">
        <v>0</v>
      </c>
      <c r="AS129" t="s">
        <v>2600</v>
      </c>
    </row>
    <row r="130" spans="1:45" x14ac:dyDescent="0.25">
      <c r="A130">
        <v>43</v>
      </c>
      <c r="B130" t="str">
        <f>VLOOKUP(A130,'model groups'!$A$3:$C$86,2,FALSE)</f>
        <v>red porgy</v>
      </c>
      <c r="D130" t="s">
        <v>433</v>
      </c>
      <c r="E130" t="s">
        <v>433</v>
      </c>
      <c r="G130" t="s">
        <v>241</v>
      </c>
      <c r="H130" t="s">
        <v>434</v>
      </c>
      <c r="I130" t="s">
        <v>428</v>
      </c>
      <c r="J130" t="s">
        <v>429</v>
      </c>
      <c r="K130" t="s">
        <v>379</v>
      </c>
      <c r="AR130">
        <v>0</v>
      </c>
      <c r="AS130" t="s">
        <v>2600</v>
      </c>
    </row>
    <row r="131" spans="1:45" x14ac:dyDescent="0.25">
      <c r="A131">
        <v>44</v>
      </c>
      <c r="B131" t="str">
        <f>VLOOKUP(A131,'model groups'!$A$3:$C$86,2,FALSE)</f>
        <v>hogfish</v>
      </c>
      <c r="C131" t="s">
        <v>435</v>
      </c>
      <c r="D131" t="s">
        <v>436</v>
      </c>
      <c r="E131" t="s">
        <v>436</v>
      </c>
      <c r="G131" t="s">
        <v>195</v>
      </c>
      <c r="H131" t="s">
        <v>196</v>
      </c>
      <c r="I131" t="s">
        <v>437</v>
      </c>
      <c r="J131" t="s">
        <v>438</v>
      </c>
      <c r="K131" t="s">
        <v>439</v>
      </c>
      <c r="L131">
        <v>0.39990066099999999</v>
      </c>
      <c r="M131">
        <v>6.6493852340000004</v>
      </c>
      <c r="N131">
        <v>93.733025249999997</v>
      </c>
      <c r="O131">
        <v>3.98</v>
      </c>
      <c r="P131">
        <v>67.099999999999994</v>
      </c>
      <c r="Q131">
        <v>3.9567000000000001</v>
      </c>
      <c r="R131" t="s">
        <v>70</v>
      </c>
      <c r="S131" t="s">
        <v>77</v>
      </c>
      <c r="T131" t="str">
        <f>IF(OR(AK131=1,AN131=1),"reef","no")</f>
        <v>reef</v>
      </c>
      <c r="U131" s="1">
        <v>0</v>
      </c>
      <c r="V131" s="1">
        <v>0.27437500472048121</v>
      </c>
      <c r="W131" s="1">
        <v>9.9250001555677494E-2</v>
      </c>
      <c r="X131" s="1">
        <v>0</v>
      </c>
      <c r="Y131" s="1">
        <v>0</v>
      </c>
      <c r="Z131" s="1">
        <v>0</v>
      </c>
      <c r="AA131" s="1">
        <v>0.62387499373276623</v>
      </c>
      <c r="AB131" s="1">
        <v>2.499999991075E-3</v>
      </c>
      <c r="AC131">
        <v>0</v>
      </c>
      <c r="AD131">
        <v>1</v>
      </c>
      <c r="AE131">
        <v>0</v>
      </c>
      <c r="AF131">
        <v>1</v>
      </c>
      <c r="AG131">
        <v>1</v>
      </c>
      <c r="AH131">
        <v>0</v>
      </c>
      <c r="AI131">
        <v>0</v>
      </c>
      <c r="AJ131">
        <v>0</v>
      </c>
      <c r="AK131">
        <v>1</v>
      </c>
      <c r="AL131">
        <v>0</v>
      </c>
      <c r="AM131">
        <v>1</v>
      </c>
      <c r="AN131">
        <v>0</v>
      </c>
      <c r="AO131">
        <v>1</v>
      </c>
      <c r="AP131">
        <v>0</v>
      </c>
      <c r="AQ131">
        <v>1</v>
      </c>
      <c r="AR131">
        <v>0</v>
      </c>
      <c r="AS131" t="s">
        <v>2600</v>
      </c>
    </row>
    <row r="132" spans="1:45" x14ac:dyDescent="0.25">
      <c r="A132">
        <v>45</v>
      </c>
      <c r="B132" t="str">
        <f>VLOOKUP(A132,'model groups'!$A$3:$C$86,2,FALSE)</f>
        <v>black sea bass</v>
      </c>
      <c r="C132" t="s">
        <v>440</v>
      </c>
      <c r="D132" t="s">
        <v>441</v>
      </c>
      <c r="E132" t="s">
        <v>441</v>
      </c>
      <c r="G132" t="s">
        <v>195</v>
      </c>
      <c r="H132" t="s">
        <v>196</v>
      </c>
      <c r="I132" t="s">
        <v>337</v>
      </c>
      <c r="J132" t="s">
        <v>442</v>
      </c>
      <c r="K132" t="s">
        <v>443</v>
      </c>
      <c r="L132">
        <v>0.52426325500000004</v>
      </c>
      <c r="M132">
        <v>5.1250522504999996</v>
      </c>
      <c r="N132">
        <v>68.330277890000005</v>
      </c>
      <c r="O132">
        <v>3.8433333329999999</v>
      </c>
      <c r="P132">
        <v>31.39</v>
      </c>
      <c r="Q132">
        <v>1.0318845000000001</v>
      </c>
      <c r="R132" t="s">
        <v>70</v>
      </c>
      <c r="S132" t="s">
        <v>77</v>
      </c>
      <c r="T132" t="str">
        <f>IF(OR(AK132=1,AN132=1),"reef","no")</f>
        <v>reef</v>
      </c>
      <c r="U132" s="1">
        <v>0.24966666574204333</v>
      </c>
      <c r="V132" s="1">
        <v>0.56299999927130995</v>
      </c>
      <c r="W132" s="1">
        <v>3.3000000265210001E-2</v>
      </c>
      <c r="X132" s="1">
        <v>0</v>
      </c>
      <c r="Y132" s="1">
        <v>7.6666663705033328E-3</v>
      </c>
      <c r="Z132" s="1">
        <v>0</v>
      </c>
      <c r="AA132" s="1">
        <v>8.033333501005667E-2</v>
      </c>
      <c r="AB132" s="1">
        <v>6.6333333340876668E-2</v>
      </c>
      <c r="AC132">
        <v>0</v>
      </c>
      <c r="AD132">
        <v>0</v>
      </c>
      <c r="AE132">
        <v>0</v>
      </c>
      <c r="AF132">
        <v>0</v>
      </c>
      <c r="AG132">
        <v>0</v>
      </c>
      <c r="AH132">
        <v>0</v>
      </c>
      <c r="AI132">
        <v>0</v>
      </c>
      <c r="AJ132">
        <v>0</v>
      </c>
      <c r="AK132">
        <v>1</v>
      </c>
      <c r="AL132">
        <v>1</v>
      </c>
      <c r="AM132">
        <v>1</v>
      </c>
      <c r="AN132">
        <v>0</v>
      </c>
      <c r="AO132">
        <v>1</v>
      </c>
      <c r="AP132">
        <v>1</v>
      </c>
      <c r="AQ132">
        <v>1</v>
      </c>
      <c r="AR132">
        <v>0</v>
      </c>
      <c r="AS132" t="s">
        <v>2600</v>
      </c>
    </row>
    <row r="133" spans="1:45" x14ac:dyDescent="0.25">
      <c r="A133">
        <v>46</v>
      </c>
      <c r="B133" t="str">
        <f>VLOOKUP(A133,'model groups'!$A$3:$C$86,2,FALSE)</f>
        <v>reef carnivores</v>
      </c>
      <c r="D133" t="s">
        <v>445</v>
      </c>
      <c r="E133" t="s">
        <v>445</v>
      </c>
      <c r="G133" t="s">
        <v>241</v>
      </c>
      <c r="H133" t="s">
        <v>209</v>
      </c>
      <c r="I133" t="s">
        <v>197</v>
      </c>
      <c r="J133" t="s">
        <v>202</v>
      </c>
      <c r="K133" t="s">
        <v>446</v>
      </c>
      <c r="AR133">
        <v>17</v>
      </c>
      <c r="AS133" t="s">
        <v>2586</v>
      </c>
    </row>
    <row r="134" spans="1:45" x14ac:dyDescent="0.25">
      <c r="A134">
        <v>46</v>
      </c>
      <c r="B134" t="str">
        <f>VLOOKUP(A134,'model groups'!$A$3:$C$86,2,FALSE)</f>
        <v>reef carnivores</v>
      </c>
      <c r="C134" t="s">
        <v>447</v>
      </c>
      <c r="D134" t="s">
        <v>448</v>
      </c>
      <c r="E134" t="s">
        <v>448</v>
      </c>
      <c r="G134" t="s">
        <v>195</v>
      </c>
      <c r="H134" t="s">
        <v>196</v>
      </c>
      <c r="I134" t="s">
        <v>449</v>
      </c>
      <c r="J134" t="s">
        <v>450</v>
      </c>
      <c r="K134" t="s">
        <v>451</v>
      </c>
      <c r="L134">
        <v>0.76475728099999996</v>
      </c>
      <c r="M134">
        <v>7.2454448065000001</v>
      </c>
      <c r="N134">
        <v>42.359465319999998</v>
      </c>
      <c r="O134">
        <v>3.4666666670000001</v>
      </c>
      <c r="P134">
        <v>36.78</v>
      </c>
      <c r="Q134">
        <v>1.77369</v>
      </c>
      <c r="R134" t="s">
        <v>70</v>
      </c>
      <c r="S134" t="s">
        <v>77</v>
      </c>
      <c r="T134" t="str">
        <f>IF(OR(AK134=1,AN134=1),"reef","no")</f>
        <v>reef</v>
      </c>
      <c r="U134" s="1">
        <v>0.11790000157600401</v>
      </c>
      <c r="V134" s="1">
        <v>0.60504999694063788</v>
      </c>
      <c r="W134" s="1">
        <v>2.3599999345535989E-2</v>
      </c>
      <c r="X134" s="1">
        <v>0</v>
      </c>
      <c r="Y134" s="1">
        <v>0</v>
      </c>
      <c r="Z134" s="1">
        <v>0</v>
      </c>
      <c r="AA134" s="1">
        <v>0.22485000270848604</v>
      </c>
      <c r="AB134" s="1">
        <v>2.8599999429335991E-2</v>
      </c>
      <c r="AC134">
        <v>0</v>
      </c>
      <c r="AD134">
        <v>1</v>
      </c>
      <c r="AE134">
        <v>1</v>
      </c>
      <c r="AF134">
        <v>1</v>
      </c>
      <c r="AG134">
        <v>0</v>
      </c>
      <c r="AH134">
        <v>0</v>
      </c>
      <c r="AI134">
        <v>0</v>
      </c>
      <c r="AJ134">
        <v>0</v>
      </c>
      <c r="AK134">
        <v>1</v>
      </c>
      <c r="AL134">
        <v>0</v>
      </c>
      <c r="AM134">
        <v>1</v>
      </c>
      <c r="AN134">
        <v>0</v>
      </c>
      <c r="AO134">
        <v>0</v>
      </c>
      <c r="AP134">
        <v>0</v>
      </c>
      <c r="AQ134">
        <v>1</v>
      </c>
      <c r="AR134">
        <v>17</v>
      </c>
      <c r="AS134" t="s">
        <v>2586</v>
      </c>
    </row>
    <row r="135" spans="1:45" x14ac:dyDescent="0.25">
      <c r="A135">
        <v>46</v>
      </c>
      <c r="B135" t="str">
        <f>VLOOKUP(A135,'model groups'!$A$3:$C$86,2,FALSE)</f>
        <v>reef carnivores</v>
      </c>
      <c r="C135" t="s">
        <v>452</v>
      </c>
      <c r="D135" t="s">
        <v>453</v>
      </c>
      <c r="E135" t="s">
        <v>453</v>
      </c>
      <c r="G135" t="s">
        <v>195</v>
      </c>
      <c r="H135" t="s">
        <v>196</v>
      </c>
      <c r="I135" t="s">
        <v>399</v>
      </c>
      <c r="J135" t="s">
        <v>454</v>
      </c>
      <c r="K135" t="s">
        <v>455</v>
      </c>
      <c r="L135">
        <v>0.54140692700000004</v>
      </c>
      <c r="M135">
        <v>5.2387492959999999</v>
      </c>
      <c r="N135">
        <v>72.40373683</v>
      </c>
      <c r="O135">
        <v>3.58</v>
      </c>
      <c r="P135">
        <v>63.15</v>
      </c>
      <c r="Q135">
        <v>1.2495799999999999</v>
      </c>
      <c r="R135" t="s">
        <v>70</v>
      </c>
      <c r="S135" t="s">
        <v>77</v>
      </c>
      <c r="T135" t="str">
        <f>IF(OR(AK135=1,AN135=1),"reef","no")</f>
        <v>reef</v>
      </c>
      <c r="U135" s="1">
        <v>0.12399999723043996</v>
      </c>
      <c r="V135" s="1">
        <v>0.36500000663315002</v>
      </c>
      <c r="W135" s="1">
        <v>0</v>
      </c>
      <c r="X135" s="1">
        <v>0</v>
      </c>
      <c r="Y135" s="1">
        <v>0</v>
      </c>
      <c r="Z135" s="1">
        <v>0</v>
      </c>
      <c r="AA135" s="1">
        <v>0.51099999613641001</v>
      </c>
      <c r="AB135" s="1">
        <v>0</v>
      </c>
      <c r="AC135">
        <v>1</v>
      </c>
      <c r="AD135">
        <v>1</v>
      </c>
      <c r="AE135">
        <v>0</v>
      </c>
      <c r="AF135">
        <v>0</v>
      </c>
      <c r="AG135">
        <v>0</v>
      </c>
      <c r="AH135">
        <v>0</v>
      </c>
      <c r="AI135">
        <v>0</v>
      </c>
      <c r="AJ135">
        <v>0</v>
      </c>
      <c r="AK135">
        <v>1</v>
      </c>
      <c r="AL135">
        <v>0</v>
      </c>
      <c r="AM135">
        <v>0</v>
      </c>
      <c r="AN135">
        <v>0</v>
      </c>
      <c r="AO135">
        <v>0</v>
      </c>
      <c r="AP135">
        <v>0</v>
      </c>
      <c r="AQ135">
        <v>1</v>
      </c>
      <c r="AR135">
        <v>17</v>
      </c>
      <c r="AS135" t="s">
        <v>2586</v>
      </c>
    </row>
    <row r="136" spans="1:45" x14ac:dyDescent="0.25">
      <c r="A136">
        <v>46</v>
      </c>
      <c r="B136" t="str">
        <f>VLOOKUP(A136,'model groups'!$A$3:$C$86,2,FALSE)</f>
        <v>reef carnivores</v>
      </c>
      <c r="C136" t="s">
        <v>456</v>
      </c>
      <c r="D136" t="s">
        <v>457</v>
      </c>
      <c r="E136" t="s">
        <v>457</v>
      </c>
      <c r="G136" t="s">
        <v>195</v>
      </c>
      <c r="H136" t="s">
        <v>196</v>
      </c>
      <c r="I136" t="s">
        <v>458</v>
      </c>
      <c r="J136" t="s">
        <v>459</v>
      </c>
      <c r="K136" t="s">
        <v>2542</v>
      </c>
      <c r="T136" t="str">
        <f>IF(OR(AK136=1,AN136=1),"reef","no")</f>
        <v>no</v>
      </c>
      <c r="U136" s="1"/>
      <c r="V136" s="1"/>
      <c r="W136" s="1"/>
      <c r="X136" s="1"/>
      <c r="Y136" s="1"/>
      <c r="Z136" s="1"/>
      <c r="AA136" s="1"/>
      <c r="AB136" s="1"/>
      <c r="AG136">
        <v>1</v>
      </c>
      <c r="AH136">
        <v>0</v>
      </c>
      <c r="AI136">
        <v>0</v>
      </c>
      <c r="AJ136">
        <v>0</v>
      </c>
      <c r="AK136">
        <v>0</v>
      </c>
      <c r="AL136">
        <v>0</v>
      </c>
      <c r="AM136">
        <v>1</v>
      </c>
      <c r="AN136">
        <v>0</v>
      </c>
      <c r="AO136">
        <v>0</v>
      </c>
      <c r="AP136">
        <v>0</v>
      </c>
      <c r="AQ136">
        <v>0</v>
      </c>
      <c r="AR136">
        <v>17</v>
      </c>
      <c r="AS136" t="s">
        <v>2586</v>
      </c>
    </row>
    <row r="137" spans="1:45" x14ac:dyDescent="0.25">
      <c r="A137">
        <v>46</v>
      </c>
      <c r="B137" t="str">
        <f>VLOOKUP(A137,'model groups'!$A$3:$C$86,2,FALSE)</f>
        <v>reef carnivores</v>
      </c>
      <c r="C137" t="s">
        <v>460</v>
      </c>
      <c r="D137" t="s">
        <v>461</v>
      </c>
      <c r="E137" t="s">
        <v>461</v>
      </c>
      <c r="G137" t="s">
        <v>195</v>
      </c>
      <c r="H137" t="s">
        <v>196</v>
      </c>
      <c r="I137" t="s">
        <v>458</v>
      </c>
      <c r="J137" t="s">
        <v>462</v>
      </c>
      <c r="K137" t="s">
        <v>463</v>
      </c>
      <c r="L137">
        <v>0.92649175900000003</v>
      </c>
      <c r="M137">
        <v>8.0880857739999996</v>
      </c>
      <c r="N137">
        <v>31.451041149999998</v>
      </c>
      <c r="O137">
        <v>3.4666666670000001</v>
      </c>
      <c r="P137">
        <v>35.29</v>
      </c>
      <c r="Q137">
        <v>2.2061500000000001</v>
      </c>
      <c r="R137" t="s">
        <v>70</v>
      </c>
      <c r="S137" t="s">
        <v>77</v>
      </c>
      <c r="T137" t="str">
        <f>IF(OR(AK137=1,AN137=1),"reef","no")</f>
        <v>reef</v>
      </c>
      <c r="U137" s="1">
        <v>0.13463333580844933</v>
      </c>
      <c r="V137" s="1">
        <v>0.70466666652082666</v>
      </c>
      <c r="W137" s="1">
        <v>3.6666667475066662E-3</v>
      </c>
      <c r="X137" s="1">
        <v>0</v>
      </c>
      <c r="Y137" s="1">
        <v>0</v>
      </c>
      <c r="Z137" s="1">
        <v>0</v>
      </c>
      <c r="AA137" s="1">
        <v>0.15316666436584667</v>
      </c>
      <c r="AB137" s="1">
        <v>3.8666665573706665E-3</v>
      </c>
      <c r="AC137">
        <v>1</v>
      </c>
      <c r="AD137">
        <v>1</v>
      </c>
      <c r="AE137">
        <v>1</v>
      </c>
      <c r="AF137">
        <v>1</v>
      </c>
      <c r="AG137">
        <v>0</v>
      </c>
      <c r="AH137">
        <v>0</v>
      </c>
      <c r="AI137">
        <v>0</v>
      </c>
      <c r="AJ137">
        <v>0</v>
      </c>
      <c r="AK137">
        <v>1</v>
      </c>
      <c r="AL137">
        <v>0</v>
      </c>
      <c r="AM137">
        <v>0</v>
      </c>
      <c r="AN137">
        <v>0</v>
      </c>
      <c r="AO137">
        <v>0</v>
      </c>
      <c r="AP137">
        <v>0</v>
      </c>
      <c r="AQ137">
        <v>0</v>
      </c>
      <c r="AR137">
        <v>17</v>
      </c>
      <c r="AS137" t="s">
        <v>2586</v>
      </c>
    </row>
    <row r="138" spans="1:45" x14ac:dyDescent="0.25">
      <c r="A138">
        <v>46</v>
      </c>
      <c r="B138" t="str">
        <f>VLOOKUP(A138,'model groups'!$A$3:$C$86,2,FALSE)</f>
        <v>reef carnivores</v>
      </c>
      <c r="C138" t="s">
        <v>464</v>
      </c>
      <c r="D138" t="s">
        <v>465</v>
      </c>
      <c r="E138" t="s">
        <v>465</v>
      </c>
      <c r="G138" t="s">
        <v>241</v>
      </c>
      <c r="H138" t="s">
        <v>466</v>
      </c>
      <c r="I138" t="s">
        <v>458</v>
      </c>
      <c r="J138" t="s">
        <v>467</v>
      </c>
      <c r="K138" t="s">
        <v>2540</v>
      </c>
      <c r="AR138">
        <v>17</v>
      </c>
      <c r="AS138" t="s">
        <v>2586</v>
      </c>
    </row>
    <row r="139" spans="1:45" x14ac:dyDescent="0.25">
      <c r="A139">
        <v>46</v>
      </c>
      <c r="B139" t="str">
        <f>VLOOKUP(A139,'model groups'!$A$3:$C$86,2,FALSE)</f>
        <v>reef carnivores</v>
      </c>
      <c r="C139" t="s">
        <v>468</v>
      </c>
      <c r="D139" t="s">
        <v>469</v>
      </c>
      <c r="E139" t="s">
        <v>469</v>
      </c>
      <c r="G139" t="s">
        <v>195</v>
      </c>
      <c r="H139" t="s">
        <v>470</v>
      </c>
      <c r="I139" t="s">
        <v>471</v>
      </c>
      <c r="J139" t="s">
        <v>472</v>
      </c>
      <c r="K139" t="s">
        <v>473</v>
      </c>
      <c r="L139">
        <v>1.1981004040000001</v>
      </c>
      <c r="M139">
        <v>10.410741832999999</v>
      </c>
      <c r="N139">
        <v>21.10297181</v>
      </c>
      <c r="O139">
        <v>3.4099999670000001</v>
      </c>
      <c r="P139">
        <v>24.19</v>
      </c>
      <c r="Q139">
        <v>1.0660499999999999</v>
      </c>
      <c r="R139" t="s">
        <v>70</v>
      </c>
      <c r="S139" t="s">
        <v>77</v>
      </c>
      <c r="T139" t="str">
        <f>IF(OR(AK139=1,AN139=1),"reef","no")</f>
        <v>no</v>
      </c>
      <c r="U139" s="1">
        <v>0.27129224461285256</v>
      </c>
      <c r="V139" s="1">
        <v>0.36131182738981898</v>
      </c>
      <c r="W139" s="1">
        <v>7.6734592147871969E-2</v>
      </c>
      <c r="X139" s="1">
        <v>0</v>
      </c>
      <c r="Y139" s="1">
        <v>0</v>
      </c>
      <c r="Z139" s="1">
        <v>0</v>
      </c>
      <c r="AA139" s="1">
        <v>0.26262449854030462</v>
      </c>
      <c r="AB139" s="1">
        <v>2.8036837309151873E-2</v>
      </c>
      <c r="AC139">
        <v>0</v>
      </c>
      <c r="AD139">
        <v>0</v>
      </c>
      <c r="AE139">
        <v>0</v>
      </c>
      <c r="AF139">
        <v>0</v>
      </c>
      <c r="AG139">
        <v>1</v>
      </c>
      <c r="AH139">
        <v>0</v>
      </c>
      <c r="AI139">
        <v>0</v>
      </c>
      <c r="AJ139">
        <v>0</v>
      </c>
      <c r="AK139">
        <v>0</v>
      </c>
      <c r="AL139">
        <v>0</v>
      </c>
      <c r="AM139">
        <v>1</v>
      </c>
      <c r="AN139">
        <v>0</v>
      </c>
      <c r="AO139">
        <v>0</v>
      </c>
      <c r="AP139">
        <v>0</v>
      </c>
      <c r="AQ139">
        <v>0</v>
      </c>
      <c r="AR139">
        <v>17</v>
      </c>
      <c r="AS139" t="s">
        <v>2586</v>
      </c>
    </row>
    <row r="140" spans="1:45" x14ac:dyDescent="0.25">
      <c r="A140">
        <v>46</v>
      </c>
      <c r="B140" t="str">
        <f>VLOOKUP(A140,'model groups'!$A$3:$C$86,2,FALSE)</f>
        <v>reef carnivores</v>
      </c>
      <c r="C140" t="s">
        <v>474</v>
      </c>
      <c r="D140" t="s">
        <v>475</v>
      </c>
      <c r="E140" t="s">
        <v>475</v>
      </c>
      <c r="G140" t="s">
        <v>195</v>
      </c>
      <c r="H140" t="s">
        <v>470</v>
      </c>
      <c r="I140" t="s">
        <v>471</v>
      </c>
      <c r="J140" t="s">
        <v>476</v>
      </c>
      <c r="K140" t="s">
        <v>477</v>
      </c>
      <c r="L140">
        <v>0.87216026300000005</v>
      </c>
      <c r="N140">
        <v>34.543756860000002</v>
      </c>
      <c r="P140">
        <v>32.4</v>
      </c>
      <c r="Q140">
        <v>1.20408</v>
      </c>
      <c r="R140" t="s">
        <v>70</v>
      </c>
      <c r="S140" t="s">
        <v>77</v>
      </c>
      <c r="T140" t="str">
        <f>IF(OR(AK140=1,AN140=1),"reef","no")</f>
        <v>no</v>
      </c>
      <c r="U140" s="1"/>
      <c r="V140" s="1"/>
      <c r="W140" s="1"/>
      <c r="X140" s="1"/>
      <c r="Y140" s="1"/>
      <c r="Z140" s="1"/>
      <c r="AA140" s="1"/>
      <c r="AB140" s="1"/>
      <c r="AC140">
        <v>0</v>
      </c>
      <c r="AD140">
        <v>0</v>
      </c>
      <c r="AE140">
        <v>0</v>
      </c>
      <c r="AF140">
        <v>0</v>
      </c>
      <c r="AG140">
        <v>1</v>
      </c>
      <c r="AH140">
        <v>0</v>
      </c>
      <c r="AI140">
        <v>0</v>
      </c>
      <c r="AJ140">
        <v>0</v>
      </c>
      <c r="AK140">
        <v>0</v>
      </c>
      <c r="AL140">
        <v>0</v>
      </c>
      <c r="AM140">
        <v>1</v>
      </c>
      <c r="AN140">
        <v>0</v>
      </c>
      <c r="AO140">
        <v>0</v>
      </c>
      <c r="AP140">
        <v>0</v>
      </c>
      <c r="AQ140">
        <v>0</v>
      </c>
      <c r="AR140">
        <v>17</v>
      </c>
      <c r="AS140" t="s">
        <v>2586</v>
      </c>
    </row>
    <row r="141" spans="1:45" x14ac:dyDescent="0.25">
      <c r="A141">
        <v>46</v>
      </c>
      <c r="B141" t="str">
        <f>VLOOKUP(A141,'model groups'!$A$3:$C$86,2,FALSE)</f>
        <v>reef carnivores</v>
      </c>
      <c r="C141" t="s">
        <v>527</v>
      </c>
      <c r="D141" t="s">
        <v>527</v>
      </c>
      <c r="E141" t="s">
        <v>475</v>
      </c>
      <c r="G141" t="s">
        <v>195</v>
      </c>
      <c r="H141" t="s">
        <v>470</v>
      </c>
      <c r="I141" t="s">
        <v>471</v>
      </c>
      <c r="J141" t="s">
        <v>476</v>
      </c>
      <c r="K141" t="s">
        <v>2543</v>
      </c>
      <c r="U141" s="1"/>
      <c r="V141" s="1"/>
      <c r="W141" s="1"/>
      <c r="X141" s="1"/>
      <c r="Y141" s="1"/>
      <c r="Z141" s="1"/>
      <c r="AA141" s="1"/>
      <c r="AB141" s="1"/>
      <c r="AR141">
        <v>17</v>
      </c>
      <c r="AS141" t="s">
        <v>2586</v>
      </c>
    </row>
    <row r="142" spans="1:45" x14ac:dyDescent="0.25">
      <c r="A142">
        <v>46</v>
      </c>
      <c r="B142" t="str">
        <f>VLOOKUP(A142,'model groups'!$A$3:$C$86,2,FALSE)</f>
        <v>reef carnivores</v>
      </c>
      <c r="C142" t="s">
        <v>478</v>
      </c>
      <c r="D142" t="s">
        <v>479</v>
      </c>
      <c r="E142" t="s">
        <v>479</v>
      </c>
      <c r="G142" t="s">
        <v>195</v>
      </c>
      <c r="H142" t="s">
        <v>413</v>
      </c>
      <c r="I142" t="s">
        <v>408</v>
      </c>
      <c r="J142" t="s">
        <v>480</v>
      </c>
      <c r="K142" t="s">
        <v>481</v>
      </c>
      <c r="L142">
        <v>0.84022107700000004</v>
      </c>
      <c r="M142">
        <v>5.4794983605000001</v>
      </c>
      <c r="N142">
        <v>36.603057360000001</v>
      </c>
      <c r="O142">
        <v>3.8533333330000001</v>
      </c>
      <c r="P142">
        <v>46.59</v>
      </c>
      <c r="Q142">
        <v>1.03634</v>
      </c>
      <c r="R142" t="s">
        <v>70</v>
      </c>
      <c r="S142" t="s">
        <v>77</v>
      </c>
      <c r="T142" t="str">
        <f>IF(OR(AK142=1,AN142=1),"reef","no")</f>
        <v>reef</v>
      </c>
      <c r="U142" s="1">
        <v>0.14299999985509998</v>
      </c>
      <c r="V142" s="1">
        <v>0.85700000014489996</v>
      </c>
      <c r="W142" s="1">
        <v>0</v>
      </c>
      <c r="X142" s="1">
        <v>0</v>
      </c>
      <c r="Y142" s="1">
        <v>0</v>
      </c>
      <c r="Z142" s="1">
        <v>0</v>
      </c>
      <c r="AA142" s="1">
        <v>0</v>
      </c>
      <c r="AB142" s="1">
        <v>0</v>
      </c>
      <c r="AC142">
        <v>0</v>
      </c>
      <c r="AD142">
        <v>0</v>
      </c>
      <c r="AE142">
        <v>0</v>
      </c>
      <c r="AF142">
        <v>0</v>
      </c>
      <c r="AG142">
        <v>1</v>
      </c>
      <c r="AH142">
        <v>0</v>
      </c>
      <c r="AI142">
        <v>0</v>
      </c>
      <c r="AJ142">
        <v>0</v>
      </c>
      <c r="AK142">
        <v>0</v>
      </c>
      <c r="AL142">
        <v>0</v>
      </c>
      <c r="AM142">
        <v>1</v>
      </c>
      <c r="AN142">
        <v>1</v>
      </c>
      <c r="AO142">
        <v>0</v>
      </c>
      <c r="AP142">
        <v>0</v>
      </c>
      <c r="AQ142">
        <v>0</v>
      </c>
      <c r="AR142">
        <v>17</v>
      </c>
      <c r="AS142" t="s">
        <v>2586</v>
      </c>
    </row>
    <row r="143" spans="1:45" x14ac:dyDescent="0.25">
      <c r="A143">
        <v>46</v>
      </c>
      <c r="B143" t="str">
        <f>VLOOKUP(A143,'model groups'!$A$3:$C$86,2,FALSE)</f>
        <v>reef carnivores</v>
      </c>
      <c r="C143" t="s">
        <v>482</v>
      </c>
      <c r="D143" t="s">
        <v>483</v>
      </c>
      <c r="E143" t="s">
        <v>483</v>
      </c>
      <c r="G143" t="s">
        <v>241</v>
      </c>
      <c r="H143" t="s">
        <v>196</v>
      </c>
      <c r="I143" t="s">
        <v>337</v>
      </c>
      <c r="J143" t="s">
        <v>484</v>
      </c>
      <c r="AR143">
        <v>17</v>
      </c>
      <c r="AS143" t="s">
        <v>2586</v>
      </c>
    </row>
    <row r="144" spans="1:45" x14ac:dyDescent="0.25">
      <c r="A144">
        <v>46</v>
      </c>
      <c r="B144" t="str">
        <f>VLOOKUP(A144,'model groups'!$A$3:$C$86,2,FALSE)</f>
        <v>reef carnivores</v>
      </c>
      <c r="D144" t="s">
        <v>485</v>
      </c>
      <c r="E144" t="s">
        <v>485</v>
      </c>
      <c r="G144" t="s">
        <v>241</v>
      </c>
      <c r="H144" t="s">
        <v>196</v>
      </c>
      <c r="I144" t="s">
        <v>337</v>
      </c>
      <c r="J144" t="s">
        <v>442</v>
      </c>
      <c r="K144" t="s">
        <v>486</v>
      </c>
      <c r="AR144">
        <v>17</v>
      </c>
      <c r="AS144" t="s">
        <v>2586</v>
      </c>
    </row>
    <row r="145" spans="1:45" x14ac:dyDescent="0.25">
      <c r="A145">
        <v>46</v>
      </c>
      <c r="B145" t="str">
        <f>VLOOKUP(A145,'model groups'!$A$3:$C$86,2,FALSE)</f>
        <v>reef carnivores</v>
      </c>
      <c r="D145" t="s">
        <v>487</v>
      </c>
      <c r="E145" t="s">
        <v>487</v>
      </c>
      <c r="G145" t="s">
        <v>241</v>
      </c>
      <c r="H145" t="s">
        <v>196</v>
      </c>
      <c r="I145" t="s">
        <v>337</v>
      </c>
      <c r="J145" t="s">
        <v>442</v>
      </c>
      <c r="K145" t="s">
        <v>379</v>
      </c>
      <c r="AR145">
        <v>17</v>
      </c>
      <c r="AS145" t="s">
        <v>2586</v>
      </c>
    </row>
    <row r="146" spans="1:45" x14ac:dyDescent="0.25">
      <c r="A146">
        <v>46</v>
      </c>
      <c r="B146" t="str">
        <f>VLOOKUP(A146,'model groups'!$A$3:$C$86,2,FALSE)</f>
        <v>reef carnivores</v>
      </c>
      <c r="C146" t="s">
        <v>488</v>
      </c>
      <c r="D146" t="s">
        <v>489</v>
      </c>
      <c r="E146" t="s">
        <v>489</v>
      </c>
      <c r="G146" t="s">
        <v>195</v>
      </c>
      <c r="H146" t="s">
        <v>196</v>
      </c>
      <c r="I146" t="s">
        <v>337</v>
      </c>
      <c r="J146" t="s">
        <v>490</v>
      </c>
      <c r="K146" t="s">
        <v>491</v>
      </c>
      <c r="L146">
        <v>0.92649175900000003</v>
      </c>
      <c r="M146">
        <v>8.4618289339999997</v>
      </c>
      <c r="N146">
        <v>31.451041149999998</v>
      </c>
      <c r="O146">
        <v>4.2633333330000003</v>
      </c>
      <c r="P146">
        <v>14.62</v>
      </c>
      <c r="Q146">
        <v>1.8793150000000001</v>
      </c>
      <c r="R146" t="s">
        <v>70</v>
      </c>
      <c r="S146" t="s">
        <v>77</v>
      </c>
      <c r="T146" t="str">
        <f>IF(OR(AK146=1,AN146=1),"reef","no")</f>
        <v>reef</v>
      </c>
      <c r="U146" s="1">
        <v>0.52394999427756705</v>
      </c>
      <c r="V146" s="1">
        <v>7.6899999759474008E-2</v>
      </c>
      <c r="W146" s="1">
        <v>0</v>
      </c>
      <c r="X146" s="1">
        <v>0</v>
      </c>
      <c r="Y146" s="1">
        <v>1.0499999589330005E-3</v>
      </c>
      <c r="Z146" s="1">
        <v>0</v>
      </c>
      <c r="AA146" s="1">
        <v>6.6450000299616993E-2</v>
      </c>
      <c r="AB146" s="1">
        <v>0.33165000570440895</v>
      </c>
      <c r="AC146">
        <v>1</v>
      </c>
      <c r="AD146">
        <v>0</v>
      </c>
      <c r="AE146">
        <v>1</v>
      </c>
      <c r="AF146">
        <v>0</v>
      </c>
      <c r="AG146">
        <v>1</v>
      </c>
      <c r="AH146">
        <v>0</v>
      </c>
      <c r="AI146">
        <v>0</v>
      </c>
      <c r="AJ146">
        <v>0</v>
      </c>
      <c r="AK146">
        <v>0</v>
      </c>
      <c r="AL146">
        <v>0</v>
      </c>
      <c r="AM146">
        <v>1</v>
      </c>
      <c r="AN146">
        <v>1</v>
      </c>
      <c r="AO146">
        <v>1</v>
      </c>
      <c r="AP146">
        <v>1</v>
      </c>
      <c r="AQ146">
        <v>1</v>
      </c>
      <c r="AR146">
        <v>17</v>
      </c>
      <c r="AS146" t="s">
        <v>2586</v>
      </c>
    </row>
    <row r="147" spans="1:45" x14ac:dyDescent="0.25">
      <c r="A147">
        <v>46</v>
      </c>
      <c r="B147" t="str">
        <f>VLOOKUP(A147,'model groups'!$A$3:$C$86,2,FALSE)</f>
        <v>reef carnivores</v>
      </c>
      <c r="D147" t="s">
        <v>492</v>
      </c>
      <c r="E147" t="s">
        <v>493</v>
      </c>
      <c r="G147" t="s">
        <v>195</v>
      </c>
      <c r="H147" t="s">
        <v>196</v>
      </c>
      <c r="I147" t="s">
        <v>337</v>
      </c>
      <c r="J147" t="s">
        <v>490</v>
      </c>
      <c r="T147" t="str">
        <f>IF(OR(AK147=1,AN147=1),"reef","no")</f>
        <v>reef</v>
      </c>
      <c r="U147" s="1"/>
      <c r="V147" s="1"/>
      <c r="W147" s="1"/>
      <c r="X147" s="1"/>
      <c r="Y147" s="1"/>
      <c r="Z147" s="1"/>
      <c r="AA147" s="1"/>
      <c r="AB147" s="1"/>
      <c r="AG147">
        <v>0</v>
      </c>
      <c r="AH147">
        <v>0</v>
      </c>
      <c r="AI147">
        <v>0</v>
      </c>
      <c r="AJ147">
        <v>0</v>
      </c>
      <c r="AK147">
        <v>1</v>
      </c>
      <c r="AL147">
        <v>0</v>
      </c>
      <c r="AM147">
        <v>0</v>
      </c>
      <c r="AN147">
        <v>0</v>
      </c>
      <c r="AO147">
        <v>0</v>
      </c>
      <c r="AP147">
        <v>0</v>
      </c>
      <c r="AQ147">
        <v>0</v>
      </c>
      <c r="AR147">
        <v>17</v>
      </c>
      <c r="AS147" t="s">
        <v>2586</v>
      </c>
    </row>
    <row r="148" spans="1:45" x14ac:dyDescent="0.25">
      <c r="A148">
        <v>46</v>
      </c>
      <c r="B148" t="str">
        <f>VLOOKUP(A148,'model groups'!$A$3:$C$86,2,FALSE)</f>
        <v>reef carnivores</v>
      </c>
      <c r="D148" t="s">
        <v>494</v>
      </c>
      <c r="E148" t="s">
        <v>494</v>
      </c>
      <c r="G148" t="s">
        <v>241</v>
      </c>
      <c r="H148" t="s">
        <v>196</v>
      </c>
      <c r="I148" t="s">
        <v>337</v>
      </c>
      <c r="J148" t="s">
        <v>490</v>
      </c>
      <c r="K148" t="s">
        <v>2541</v>
      </c>
      <c r="AR148">
        <v>17</v>
      </c>
      <c r="AS148" t="s">
        <v>2586</v>
      </c>
    </row>
    <row r="149" spans="1:45" x14ac:dyDescent="0.25">
      <c r="A149">
        <v>46</v>
      </c>
      <c r="B149" t="str">
        <f>VLOOKUP(A149,'model groups'!$A$3:$C$86,2,FALSE)</f>
        <v>reef carnivores</v>
      </c>
      <c r="C149" t="s">
        <v>495</v>
      </c>
      <c r="D149" t="s">
        <v>496</v>
      </c>
      <c r="E149" t="s">
        <v>496</v>
      </c>
      <c r="G149" t="s">
        <v>195</v>
      </c>
      <c r="H149" t="s">
        <v>196</v>
      </c>
      <c r="I149" t="s">
        <v>428</v>
      </c>
      <c r="J149" t="s">
        <v>497</v>
      </c>
      <c r="K149" t="s">
        <v>498</v>
      </c>
      <c r="L149">
        <v>0.60018358800000005</v>
      </c>
      <c r="M149">
        <v>6.3915187680000001</v>
      </c>
      <c r="N149">
        <v>47.898287029999999</v>
      </c>
      <c r="O149">
        <v>4.0949999999999998</v>
      </c>
      <c r="P149">
        <v>38.479999999999997</v>
      </c>
      <c r="Q149">
        <v>2.5275500000000002</v>
      </c>
      <c r="R149" t="s">
        <v>70</v>
      </c>
      <c r="S149" t="s">
        <v>109</v>
      </c>
      <c r="T149" t="str">
        <f t="shared" ref="T149:T154" si="5">IF(OR(AK149=1,AN149=1),"reef","no")</f>
        <v>reef</v>
      </c>
      <c r="U149" s="1">
        <v>0.56399999785215993</v>
      </c>
      <c r="V149" s="1">
        <v>0.15899999991895999</v>
      </c>
      <c r="W149" s="1">
        <v>0</v>
      </c>
      <c r="X149" s="1">
        <v>0</v>
      </c>
      <c r="Y149" s="1">
        <v>0</v>
      </c>
      <c r="Z149" s="1">
        <v>4.400000145336002E-2</v>
      </c>
      <c r="AA149" s="1">
        <v>0.23300000077551999</v>
      </c>
      <c r="AB149" s="1">
        <v>0</v>
      </c>
      <c r="AC149">
        <v>0</v>
      </c>
      <c r="AD149">
        <v>1</v>
      </c>
      <c r="AE149">
        <v>0</v>
      </c>
      <c r="AF149">
        <v>1</v>
      </c>
      <c r="AG149">
        <v>0</v>
      </c>
      <c r="AH149">
        <v>0</v>
      </c>
      <c r="AI149">
        <v>0</v>
      </c>
      <c r="AJ149">
        <v>0</v>
      </c>
      <c r="AK149">
        <v>0</v>
      </c>
      <c r="AL149">
        <v>0</v>
      </c>
      <c r="AM149">
        <v>0</v>
      </c>
      <c r="AN149">
        <v>1</v>
      </c>
      <c r="AO149">
        <v>0</v>
      </c>
      <c r="AP149">
        <v>0</v>
      </c>
      <c r="AQ149">
        <v>1</v>
      </c>
      <c r="AR149">
        <v>17</v>
      </c>
      <c r="AS149" t="s">
        <v>2586</v>
      </c>
    </row>
    <row r="150" spans="1:45" x14ac:dyDescent="0.25">
      <c r="A150">
        <v>46</v>
      </c>
      <c r="B150" t="str">
        <f>VLOOKUP(A150,'model groups'!$A$3:$C$86,2,FALSE)</f>
        <v>reef carnivores</v>
      </c>
      <c r="C150" t="s">
        <v>499</v>
      </c>
      <c r="D150" t="s">
        <v>500</v>
      </c>
      <c r="E150" t="s">
        <v>500</v>
      </c>
      <c r="G150" t="s">
        <v>195</v>
      </c>
      <c r="H150" t="s">
        <v>196</v>
      </c>
      <c r="I150" t="s">
        <v>428</v>
      </c>
      <c r="J150" t="s">
        <v>497</v>
      </c>
      <c r="K150" t="s">
        <v>501</v>
      </c>
      <c r="L150">
        <v>0.37355379999999999</v>
      </c>
      <c r="M150">
        <v>9.3471094444999991</v>
      </c>
      <c r="N150">
        <v>51.2</v>
      </c>
      <c r="O150">
        <v>3.61</v>
      </c>
      <c r="P150">
        <v>49.65</v>
      </c>
      <c r="Q150">
        <v>3.70011</v>
      </c>
      <c r="R150" t="s">
        <v>70</v>
      </c>
      <c r="S150" t="s">
        <v>77</v>
      </c>
      <c r="T150" t="str">
        <f t="shared" si="5"/>
        <v>reef</v>
      </c>
      <c r="U150" s="1">
        <v>0.14099823482846208</v>
      </c>
      <c r="V150" s="1">
        <v>0.28584642811623512</v>
      </c>
      <c r="W150" s="1">
        <v>6.1499232000688233E-3</v>
      </c>
      <c r="X150" s="1">
        <v>0</v>
      </c>
      <c r="Y150" s="1">
        <v>0</v>
      </c>
      <c r="Z150" s="1">
        <v>1.0999862695406887E-2</v>
      </c>
      <c r="AA150" s="3">
        <v>0.55600555115982719</v>
      </c>
      <c r="AB150" s="1">
        <v>0</v>
      </c>
      <c r="AC150">
        <v>1</v>
      </c>
      <c r="AD150">
        <v>1</v>
      </c>
      <c r="AE150">
        <v>0</v>
      </c>
      <c r="AF150">
        <v>1</v>
      </c>
      <c r="AG150">
        <v>1</v>
      </c>
      <c r="AH150">
        <v>0</v>
      </c>
      <c r="AI150">
        <v>0</v>
      </c>
      <c r="AJ150">
        <v>0</v>
      </c>
      <c r="AK150">
        <v>1</v>
      </c>
      <c r="AL150">
        <v>0</v>
      </c>
      <c r="AM150">
        <v>1</v>
      </c>
      <c r="AN150">
        <v>1</v>
      </c>
      <c r="AO150">
        <v>0</v>
      </c>
      <c r="AP150">
        <v>0</v>
      </c>
      <c r="AQ150">
        <v>1</v>
      </c>
      <c r="AR150">
        <v>17</v>
      </c>
      <c r="AS150" t="s">
        <v>2586</v>
      </c>
    </row>
    <row r="151" spans="1:45" x14ac:dyDescent="0.25">
      <c r="A151">
        <v>46</v>
      </c>
      <c r="B151" t="str">
        <f>VLOOKUP(A151,'model groups'!$A$3:$C$86,2,FALSE)</f>
        <v>reef carnivores</v>
      </c>
      <c r="C151" t="s">
        <v>502</v>
      </c>
      <c r="D151" t="s">
        <v>503</v>
      </c>
      <c r="E151" t="s">
        <v>503</v>
      </c>
      <c r="G151" t="s">
        <v>195</v>
      </c>
      <c r="H151" t="s">
        <v>196</v>
      </c>
      <c r="I151" t="s">
        <v>428</v>
      </c>
      <c r="J151" t="s">
        <v>497</v>
      </c>
      <c r="K151" t="s">
        <v>504</v>
      </c>
      <c r="L151">
        <v>0.83653824799999998</v>
      </c>
      <c r="M151">
        <v>8.6685873694999991</v>
      </c>
      <c r="N151">
        <v>47.898287029999999</v>
      </c>
      <c r="O151">
        <v>3.5</v>
      </c>
      <c r="P151">
        <v>37.840000000000003</v>
      </c>
      <c r="Q151">
        <v>2.7568100000000002</v>
      </c>
      <c r="R151" t="s">
        <v>70</v>
      </c>
      <c r="S151" t="s">
        <v>77</v>
      </c>
      <c r="T151" t="str">
        <f t="shared" si="5"/>
        <v>reef</v>
      </c>
      <c r="U151" s="1">
        <v>0.14099823482846208</v>
      </c>
      <c r="V151" s="1">
        <v>0.28584642811623512</v>
      </c>
      <c r="W151" s="1">
        <v>6.1499232000688233E-3</v>
      </c>
      <c r="X151" s="1">
        <v>0</v>
      </c>
      <c r="Y151" s="1">
        <v>0</v>
      </c>
      <c r="Z151" s="1">
        <v>1.0999862695406887E-2</v>
      </c>
      <c r="AA151" s="1">
        <v>0.55600555115982719</v>
      </c>
      <c r="AB151" s="1">
        <v>0</v>
      </c>
      <c r="AC151">
        <v>0</v>
      </c>
      <c r="AD151">
        <v>0</v>
      </c>
      <c r="AE151">
        <v>0</v>
      </c>
      <c r="AF151">
        <v>1</v>
      </c>
      <c r="AG151">
        <v>1</v>
      </c>
      <c r="AH151">
        <v>0</v>
      </c>
      <c r="AI151">
        <v>0</v>
      </c>
      <c r="AJ151">
        <v>0</v>
      </c>
      <c r="AK151">
        <v>1</v>
      </c>
      <c r="AL151">
        <v>0</v>
      </c>
      <c r="AM151">
        <v>1</v>
      </c>
      <c r="AN151">
        <v>0</v>
      </c>
      <c r="AO151">
        <v>0</v>
      </c>
      <c r="AP151">
        <v>1</v>
      </c>
      <c r="AQ151">
        <v>1</v>
      </c>
      <c r="AR151">
        <v>17</v>
      </c>
      <c r="AS151" t="s">
        <v>2586</v>
      </c>
    </row>
    <row r="152" spans="1:45" x14ac:dyDescent="0.25">
      <c r="A152">
        <v>46</v>
      </c>
      <c r="B152" t="str">
        <f>VLOOKUP(A152,'model groups'!$A$3:$C$86,2,FALSE)</f>
        <v>reef carnivores</v>
      </c>
      <c r="D152" t="s">
        <v>505</v>
      </c>
      <c r="E152" t="s">
        <v>506</v>
      </c>
      <c r="G152" t="s">
        <v>195</v>
      </c>
      <c r="H152" t="s">
        <v>196</v>
      </c>
      <c r="I152" t="s">
        <v>428</v>
      </c>
      <c r="J152" t="s">
        <v>497</v>
      </c>
      <c r="T152" t="str">
        <f t="shared" si="5"/>
        <v>reef</v>
      </c>
      <c r="U152" s="1"/>
      <c r="V152" s="1"/>
      <c r="W152" s="1"/>
      <c r="X152" s="1"/>
      <c r="Y152" s="1"/>
      <c r="Z152" s="1"/>
      <c r="AA152" s="1"/>
      <c r="AB152" s="1"/>
      <c r="AG152">
        <v>0</v>
      </c>
      <c r="AH152">
        <v>0</v>
      </c>
      <c r="AI152">
        <v>0</v>
      </c>
      <c r="AJ152">
        <v>0</v>
      </c>
      <c r="AK152">
        <v>1</v>
      </c>
      <c r="AL152">
        <v>0</v>
      </c>
      <c r="AM152">
        <v>0</v>
      </c>
      <c r="AN152">
        <v>0</v>
      </c>
      <c r="AO152">
        <v>0</v>
      </c>
      <c r="AP152">
        <v>0</v>
      </c>
      <c r="AQ152">
        <v>0</v>
      </c>
      <c r="AR152">
        <v>17</v>
      </c>
      <c r="AS152" t="s">
        <v>2586</v>
      </c>
    </row>
    <row r="153" spans="1:45" x14ac:dyDescent="0.25">
      <c r="A153">
        <v>46</v>
      </c>
      <c r="B153" t="str">
        <f>VLOOKUP(A153,'model groups'!$A$3:$C$86,2,FALSE)</f>
        <v>reef carnivores</v>
      </c>
      <c r="D153" t="s">
        <v>505</v>
      </c>
      <c r="E153" t="s">
        <v>507</v>
      </c>
      <c r="G153" t="s">
        <v>195</v>
      </c>
      <c r="H153" t="s">
        <v>196</v>
      </c>
      <c r="I153" t="s">
        <v>428</v>
      </c>
      <c r="J153" t="s">
        <v>497</v>
      </c>
      <c r="T153" t="str">
        <f t="shared" si="5"/>
        <v>reef</v>
      </c>
      <c r="U153" s="1"/>
      <c r="V153" s="1"/>
      <c r="W153" s="1"/>
      <c r="X153" s="1"/>
      <c r="Y153" s="1"/>
      <c r="Z153" s="1"/>
      <c r="AA153" s="1"/>
      <c r="AB153" s="1"/>
      <c r="AG153">
        <v>0</v>
      </c>
      <c r="AH153">
        <v>0</v>
      </c>
      <c r="AI153">
        <v>0</v>
      </c>
      <c r="AJ153">
        <v>0</v>
      </c>
      <c r="AK153">
        <v>0</v>
      </c>
      <c r="AL153">
        <v>0</v>
      </c>
      <c r="AM153">
        <v>0</v>
      </c>
      <c r="AN153">
        <v>1</v>
      </c>
      <c r="AO153">
        <v>0</v>
      </c>
      <c r="AP153">
        <v>0</v>
      </c>
      <c r="AQ153">
        <v>0</v>
      </c>
      <c r="AR153">
        <v>17</v>
      </c>
      <c r="AS153" t="s">
        <v>2586</v>
      </c>
    </row>
    <row r="154" spans="1:45" x14ac:dyDescent="0.25">
      <c r="A154">
        <v>46</v>
      </c>
      <c r="B154" t="str">
        <f>VLOOKUP(A154,'model groups'!$A$3:$C$86,2,FALSE)</f>
        <v>reef carnivores</v>
      </c>
      <c r="D154" t="s">
        <v>508</v>
      </c>
      <c r="E154" t="s">
        <v>509</v>
      </c>
      <c r="G154" t="s">
        <v>195</v>
      </c>
      <c r="H154" t="s">
        <v>470</v>
      </c>
      <c r="T154" t="str">
        <f t="shared" si="5"/>
        <v>reef</v>
      </c>
      <c r="U154" s="1"/>
      <c r="V154" s="1"/>
      <c r="W154" s="1"/>
      <c r="X154" s="1"/>
      <c r="Y154" s="1"/>
      <c r="Z154" s="1"/>
      <c r="AA154" s="1"/>
      <c r="AB154" s="1"/>
      <c r="AG154">
        <v>0</v>
      </c>
      <c r="AH154">
        <v>0</v>
      </c>
      <c r="AI154">
        <v>0</v>
      </c>
      <c r="AJ154">
        <v>0</v>
      </c>
      <c r="AK154">
        <v>1</v>
      </c>
      <c r="AL154">
        <v>0</v>
      </c>
      <c r="AM154">
        <v>0</v>
      </c>
      <c r="AN154">
        <v>0</v>
      </c>
      <c r="AO154">
        <v>0</v>
      </c>
      <c r="AP154">
        <v>0</v>
      </c>
      <c r="AQ154">
        <v>0</v>
      </c>
      <c r="AR154">
        <v>17</v>
      </c>
      <c r="AS154" t="s">
        <v>2586</v>
      </c>
    </row>
    <row r="155" spans="1:45" x14ac:dyDescent="0.25">
      <c r="A155">
        <v>46</v>
      </c>
      <c r="B155" t="str">
        <f>VLOOKUP(A155,'model groups'!$A$3:$C$86,2,FALSE)</f>
        <v>reef carnivores</v>
      </c>
      <c r="C155" t="s">
        <v>1808</v>
      </c>
      <c r="D155" t="s">
        <v>1809</v>
      </c>
      <c r="E155" t="s">
        <v>1809</v>
      </c>
      <c r="G155" t="s">
        <v>241</v>
      </c>
      <c r="H155" t="s">
        <v>470</v>
      </c>
      <c r="I155" t="s">
        <v>977</v>
      </c>
      <c r="J155" t="s">
        <v>1810</v>
      </c>
      <c r="K155" t="s">
        <v>2545</v>
      </c>
      <c r="AR155">
        <v>17</v>
      </c>
      <c r="AS155" t="s">
        <v>2586</v>
      </c>
    </row>
    <row r="156" spans="1:45" x14ac:dyDescent="0.25">
      <c r="A156">
        <v>47</v>
      </c>
      <c r="B156" t="str">
        <f>VLOOKUP(A156,'model groups'!$A$3:$C$86,2,FALSE)</f>
        <v>reef crustacean eaters</v>
      </c>
      <c r="C156" t="s">
        <v>510</v>
      </c>
      <c r="D156" t="s">
        <v>511</v>
      </c>
      <c r="E156" t="s">
        <v>511</v>
      </c>
      <c r="G156" t="s">
        <v>195</v>
      </c>
      <c r="H156" t="s">
        <v>196</v>
      </c>
      <c r="I156" t="s">
        <v>512</v>
      </c>
      <c r="J156" t="s">
        <v>513</v>
      </c>
      <c r="K156" t="s">
        <v>514</v>
      </c>
      <c r="L156">
        <v>1.75032104</v>
      </c>
      <c r="M156">
        <v>10.623550808000001</v>
      </c>
      <c r="N156">
        <v>11.71748865</v>
      </c>
      <c r="O156">
        <v>3.4</v>
      </c>
      <c r="P156">
        <v>12.47</v>
      </c>
      <c r="Q156">
        <v>0.70479400000000003</v>
      </c>
      <c r="R156" t="s">
        <v>70</v>
      </c>
      <c r="S156" t="s">
        <v>77</v>
      </c>
      <c r="T156" t="str">
        <f>IF(OR(AK156=1,AN156=1),"reef","no")</f>
        <v>reef</v>
      </c>
      <c r="U156" s="1">
        <v>0</v>
      </c>
      <c r="V156" s="1">
        <v>0.87199999700152009</v>
      </c>
      <c r="W156" s="1">
        <v>0</v>
      </c>
      <c r="X156" s="1">
        <v>0</v>
      </c>
      <c r="Y156" s="1">
        <v>0</v>
      </c>
      <c r="Z156" s="1">
        <v>0</v>
      </c>
      <c r="AA156" s="1">
        <v>3.7000000106670004E-2</v>
      </c>
      <c r="AB156" s="1">
        <v>9.100000289180997E-2</v>
      </c>
      <c r="AC156">
        <v>0</v>
      </c>
      <c r="AD156">
        <v>1</v>
      </c>
      <c r="AE156">
        <v>0</v>
      </c>
      <c r="AF156">
        <v>1</v>
      </c>
      <c r="AG156">
        <v>1</v>
      </c>
      <c r="AH156">
        <v>0</v>
      </c>
      <c r="AI156">
        <v>0</v>
      </c>
      <c r="AJ156">
        <v>0</v>
      </c>
      <c r="AK156">
        <v>0</v>
      </c>
      <c r="AL156">
        <v>0</v>
      </c>
      <c r="AM156">
        <v>0</v>
      </c>
      <c r="AN156">
        <v>1</v>
      </c>
      <c r="AO156">
        <v>0</v>
      </c>
      <c r="AP156">
        <v>0</v>
      </c>
      <c r="AQ156">
        <v>0</v>
      </c>
      <c r="AR156">
        <v>17</v>
      </c>
      <c r="AS156" t="s">
        <v>2586</v>
      </c>
    </row>
    <row r="157" spans="1:45" x14ac:dyDescent="0.25">
      <c r="A157">
        <v>47</v>
      </c>
      <c r="B157" t="str">
        <f>VLOOKUP(A157,'model groups'!$A$3:$C$86,2,FALSE)</f>
        <v>reef crustacean eaters</v>
      </c>
      <c r="C157" t="s">
        <v>515</v>
      </c>
      <c r="D157" t="s">
        <v>516</v>
      </c>
      <c r="E157" t="s">
        <v>516</v>
      </c>
      <c r="G157" t="s">
        <v>241</v>
      </c>
      <c r="H157" t="s">
        <v>517</v>
      </c>
      <c r="I157" t="s">
        <v>512</v>
      </c>
      <c r="J157" t="s">
        <v>513</v>
      </c>
      <c r="AR157">
        <v>17</v>
      </c>
      <c r="AS157" t="s">
        <v>2586</v>
      </c>
    </row>
    <row r="158" spans="1:45" x14ac:dyDescent="0.25">
      <c r="A158">
        <v>47</v>
      </c>
      <c r="B158" t="str">
        <f>VLOOKUP(A158,'model groups'!$A$3:$C$86,2,FALSE)</f>
        <v>reef crustacean eaters</v>
      </c>
      <c r="D158" t="s">
        <v>518</v>
      </c>
      <c r="E158" t="s">
        <v>518</v>
      </c>
      <c r="G158" t="s">
        <v>241</v>
      </c>
      <c r="H158" t="s">
        <v>517</v>
      </c>
      <c r="I158" t="s">
        <v>512</v>
      </c>
      <c r="J158" t="s">
        <v>519</v>
      </c>
      <c r="K158" t="s">
        <v>520</v>
      </c>
      <c r="AR158">
        <v>17</v>
      </c>
      <c r="AS158" t="s">
        <v>2586</v>
      </c>
    </row>
    <row r="159" spans="1:45" x14ac:dyDescent="0.25">
      <c r="A159">
        <v>47</v>
      </c>
      <c r="B159" t="str">
        <f>VLOOKUP(A159,'model groups'!$A$3:$C$86,2,FALSE)</f>
        <v>reef crustacean eaters</v>
      </c>
      <c r="C159">
        <v>1</v>
      </c>
      <c r="D159" t="s">
        <v>522</v>
      </c>
      <c r="E159" t="s">
        <v>522</v>
      </c>
      <c r="G159" t="s">
        <v>241</v>
      </c>
      <c r="H159" t="s">
        <v>419</v>
      </c>
      <c r="I159" t="s">
        <v>420</v>
      </c>
      <c r="J159" t="s">
        <v>424</v>
      </c>
      <c r="K159" t="s">
        <v>523</v>
      </c>
      <c r="AR159">
        <v>17</v>
      </c>
      <c r="AS159" t="s">
        <v>2586</v>
      </c>
    </row>
    <row r="160" spans="1:45" x14ac:dyDescent="0.25">
      <c r="A160">
        <v>47</v>
      </c>
      <c r="B160" t="str">
        <f>VLOOKUP(A160,'model groups'!$A$3:$C$86,2,FALSE)</f>
        <v>reef crustacean eaters</v>
      </c>
      <c r="C160" t="s">
        <v>524</v>
      </c>
      <c r="D160" t="s">
        <v>525</v>
      </c>
      <c r="E160" t="s">
        <v>525</v>
      </c>
      <c r="G160" t="s">
        <v>241</v>
      </c>
      <c r="H160" t="s">
        <v>470</v>
      </c>
      <c r="I160" t="s">
        <v>526</v>
      </c>
      <c r="J160" t="s">
        <v>472</v>
      </c>
      <c r="AR160">
        <v>17</v>
      </c>
      <c r="AS160" t="s">
        <v>2586</v>
      </c>
    </row>
    <row r="161" spans="1:45" x14ac:dyDescent="0.25">
      <c r="A161">
        <v>47</v>
      </c>
      <c r="B161" t="str">
        <f>VLOOKUP(A161,'model groups'!$A$3:$C$86,2,FALSE)</f>
        <v>reef crustacean eaters</v>
      </c>
      <c r="C161" t="s">
        <v>527</v>
      </c>
      <c r="D161" t="s">
        <v>528</v>
      </c>
      <c r="E161" t="s">
        <v>528</v>
      </c>
      <c r="G161" t="s">
        <v>241</v>
      </c>
      <c r="H161" t="s">
        <v>470</v>
      </c>
      <c r="I161" t="s">
        <v>526</v>
      </c>
      <c r="J161" t="s">
        <v>476</v>
      </c>
      <c r="AR161">
        <v>17</v>
      </c>
      <c r="AS161" t="s">
        <v>2586</v>
      </c>
    </row>
    <row r="162" spans="1:45" x14ac:dyDescent="0.25">
      <c r="A162">
        <v>47</v>
      </c>
      <c r="B162" t="str">
        <f>VLOOKUP(A162,'model groups'!$A$3:$C$86,2,FALSE)</f>
        <v>reef crustacean eaters</v>
      </c>
      <c r="C162" t="s">
        <v>529</v>
      </c>
      <c r="D162" t="s">
        <v>530</v>
      </c>
      <c r="E162" t="s">
        <v>530</v>
      </c>
      <c r="G162" t="s">
        <v>241</v>
      </c>
      <c r="H162" t="s">
        <v>470</v>
      </c>
      <c r="I162" t="s">
        <v>526</v>
      </c>
      <c r="J162" t="s">
        <v>531</v>
      </c>
      <c r="AR162">
        <v>17</v>
      </c>
      <c r="AS162" t="s">
        <v>2586</v>
      </c>
    </row>
    <row r="163" spans="1:45" x14ac:dyDescent="0.25">
      <c r="A163">
        <v>47</v>
      </c>
      <c r="B163" t="str">
        <f>VLOOKUP(A163,'model groups'!$A$3:$C$86,2,FALSE)</f>
        <v>reef crustacean eaters</v>
      </c>
      <c r="D163" t="s">
        <v>532</v>
      </c>
      <c r="E163" t="s">
        <v>532</v>
      </c>
      <c r="G163" t="s">
        <v>241</v>
      </c>
      <c r="H163" t="s">
        <v>470</v>
      </c>
      <c r="I163" t="s">
        <v>526</v>
      </c>
      <c r="J163" t="s">
        <v>533</v>
      </c>
      <c r="K163" t="s">
        <v>534</v>
      </c>
      <c r="AR163">
        <v>17</v>
      </c>
      <c r="AS163" t="s">
        <v>2586</v>
      </c>
    </row>
    <row r="164" spans="1:45" x14ac:dyDescent="0.25">
      <c r="A164">
        <v>47</v>
      </c>
      <c r="B164" t="str">
        <f>VLOOKUP(A164,'model groups'!$A$3:$C$86,2,FALSE)</f>
        <v>reef crustacean eaters</v>
      </c>
      <c r="D164" t="s">
        <v>535</v>
      </c>
      <c r="E164" t="s">
        <v>535</v>
      </c>
      <c r="G164" t="s">
        <v>241</v>
      </c>
      <c r="H164" t="s">
        <v>470</v>
      </c>
      <c r="I164" t="s">
        <v>526</v>
      </c>
      <c r="J164" t="s">
        <v>533</v>
      </c>
      <c r="K164" t="s">
        <v>379</v>
      </c>
      <c r="AR164">
        <v>17</v>
      </c>
      <c r="AS164" t="s">
        <v>2586</v>
      </c>
    </row>
    <row r="165" spans="1:45" x14ac:dyDescent="0.25">
      <c r="A165">
        <v>47</v>
      </c>
      <c r="B165" t="str">
        <f>VLOOKUP(A165,'model groups'!$A$3:$C$86,2,FALSE)</f>
        <v>reef crustacean eaters</v>
      </c>
      <c r="C165" t="s">
        <v>536</v>
      </c>
      <c r="D165" t="s">
        <v>537</v>
      </c>
      <c r="E165" t="s">
        <v>537</v>
      </c>
      <c r="G165" t="s">
        <v>195</v>
      </c>
      <c r="H165" t="s">
        <v>538</v>
      </c>
      <c r="I165" t="s">
        <v>539</v>
      </c>
      <c r="J165" t="s">
        <v>540</v>
      </c>
      <c r="T165" t="str">
        <f>IF(OR(AK165=1,AN165=1),"reef","no")</f>
        <v>reef</v>
      </c>
      <c r="U165" s="1"/>
      <c r="V165" s="1"/>
      <c r="W165" s="1"/>
      <c r="X165" s="1"/>
      <c r="Y165" s="1"/>
      <c r="Z165" s="1"/>
      <c r="AA165" s="1"/>
      <c r="AB165" s="1"/>
      <c r="AG165">
        <v>0</v>
      </c>
      <c r="AH165">
        <v>0</v>
      </c>
      <c r="AI165">
        <v>0</v>
      </c>
      <c r="AJ165">
        <v>0</v>
      </c>
      <c r="AK165">
        <v>0</v>
      </c>
      <c r="AL165">
        <v>0</v>
      </c>
      <c r="AM165">
        <v>0</v>
      </c>
      <c r="AN165">
        <v>1</v>
      </c>
      <c r="AO165">
        <v>0</v>
      </c>
      <c r="AP165">
        <v>0</v>
      </c>
      <c r="AQ165">
        <v>0</v>
      </c>
      <c r="AR165">
        <v>17</v>
      </c>
      <c r="AS165" t="s">
        <v>2586</v>
      </c>
    </row>
    <row r="166" spans="1:45" x14ac:dyDescent="0.25">
      <c r="A166">
        <v>47</v>
      </c>
      <c r="B166" t="str">
        <f>VLOOKUP(A166,'model groups'!$A$3:$C$86,2,FALSE)</f>
        <v>reef crustacean eaters</v>
      </c>
      <c r="C166" t="s">
        <v>541</v>
      </c>
      <c r="D166" t="s">
        <v>542</v>
      </c>
      <c r="E166" t="s">
        <v>542</v>
      </c>
      <c r="G166" t="s">
        <v>195</v>
      </c>
      <c r="H166" t="s">
        <v>538</v>
      </c>
      <c r="I166" t="s">
        <v>539</v>
      </c>
      <c r="J166" t="s">
        <v>543</v>
      </c>
      <c r="K166" t="s">
        <v>544</v>
      </c>
      <c r="L166">
        <v>0.59077236899999996</v>
      </c>
      <c r="M166">
        <v>7.8940924515000006</v>
      </c>
      <c r="N166">
        <v>63.232898640000002</v>
      </c>
      <c r="O166">
        <v>3.34</v>
      </c>
      <c r="P166">
        <v>34.630000000000003</v>
      </c>
      <c r="Q166">
        <v>2.109165</v>
      </c>
      <c r="R166" t="s">
        <v>70</v>
      </c>
      <c r="S166" t="s">
        <v>77</v>
      </c>
      <c r="T166" t="str">
        <f>IF(OR(AK166=1,AN166=1),"reef","no")</f>
        <v>reef</v>
      </c>
      <c r="U166" s="1">
        <v>0</v>
      </c>
      <c r="V166" s="1">
        <v>0.61775000200885499</v>
      </c>
      <c r="W166" s="1">
        <v>0.28744999863244908</v>
      </c>
      <c r="X166" s="1">
        <v>0</v>
      </c>
      <c r="Y166" s="1">
        <v>0</v>
      </c>
      <c r="Z166" s="1">
        <v>0</v>
      </c>
      <c r="AA166" s="1">
        <v>2.4499999647490011E-2</v>
      </c>
      <c r="AB166" s="1">
        <v>7.0299999711206013E-2</v>
      </c>
      <c r="AC166">
        <v>1</v>
      </c>
      <c r="AD166">
        <v>1</v>
      </c>
      <c r="AE166">
        <v>1</v>
      </c>
      <c r="AF166">
        <v>1</v>
      </c>
      <c r="AG166">
        <v>0</v>
      </c>
      <c r="AH166">
        <v>0</v>
      </c>
      <c r="AI166">
        <v>0</v>
      </c>
      <c r="AJ166">
        <v>0</v>
      </c>
      <c r="AK166">
        <v>0</v>
      </c>
      <c r="AL166">
        <v>0</v>
      </c>
      <c r="AM166">
        <v>0</v>
      </c>
      <c r="AN166">
        <v>1</v>
      </c>
      <c r="AO166">
        <v>0</v>
      </c>
      <c r="AP166">
        <v>0</v>
      </c>
      <c r="AQ166">
        <v>0</v>
      </c>
      <c r="AR166">
        <v>17</v>
      </c>
      <c r="AS166" t="s">
        <v>2586</v>
      </c>
    </row>
    <row r="167" spans="1:45" x14ac:dyDescent="0.25">
      <c r="A167">
        <v>47</v>
      </c>
      <c r="B167" t="str">
        <f>VLOOKUP(A167,'model groups'!$A$3:$C$86,2,FALSE)</f>
        <v>reef crustacean eaters</v>
      </c>
      <c r="C167" t="s">
        <v>545</v>
      </c>
      <c r="D167" t="s">
        <v>546</v>
      </c>
      <c r="E167" t="s">
        <v>546</v>
      </c>
      <c r="G167" t="s">
        <v>195</v>
      </c>
      <c r="H167" t="s">
        <v>538</v>
      </c>
      <c r="I167" t="s">
        <v>539</v>
      </c>
      <c r="J167" t="s">
        <v>543</v>
      </c>
      <c r="K167" t="s">
        <v>547</v>
      </c>
      <c r="L167">
        <v>0.84022107700000004</v>
      </c>
      <c r="M167">
        <v>8.7560669529999995</v>
      </c>
      <c r="N167">
        <v>36.603057360000001</v>
      </c>
      <c r="O167">
        <v>3.47</v>
      </c>
      <c r="P167">
        <v>19.05</v>
      </c>
      <c r="Q167">
        <v>2.3144900000000002</v>
      </c>
      <c r="R167" t="s">
        <v>70</v>
      </c>
      <c r="S167" t="s">
        <v>77</v>
      </c>
      <c r="T167" t="str">
        <f>IF(OR(AK167=1,AN167=1),"reef","no")</f>
        <v>reef</v>
      </c>
      <c r="U167" s="1">
        <v>1.2000000551040002E-2</v>
      </c>
      <c r="V167" s="1">
        <v>0.78799999706495993</v>
      </c>
      <c r="W167" s="1">
        <v>0</v>
      </c>
      <c r="X167" s="1">
        <v>0</v>
      </c>
      <c r="Y167" s="1">
        <v>0</v>
      </c>
      <c r="Z167" s="1">
        <v>0</v>
      </c>
      <c r="AA167" s="1">
        <v>0.20000000238399998</v>
      </c>
      <c r="AB167" s="1">
        <v>0</v>
      </c>
      <c r="AC167">
        <v>1</v>
      </c>
      <c r="AD167">
        <v>0</v>
      </c>
      <c r="AE167">
        <v>1</v>
      </c>
      <c r="AF167">
        <v>1</v>
      </c>
      <c r="AG167">
        <v>0</v>
      </c>
      <c r="AH167">
        <v>0</v>
      </c>
      <c r="AI167">
        <v>0</v>
      </c>
      <c r="AJ167">
        <v>0</v>
      </c>
      <c r="AK167">
        <v>0</v>
      </c>
      <c r="AL167">
        <v>0</v>
      </c>
      <c r="AM167">
        <v>0</v>
      </c>
      <c r="AN167">
        <v>1</v>
      </c>
      <c r="AO167">
        <v>0</v>
      </c>
      <c r="AP167">
        <v>0</v>
      </c>
      <c r="AQ167">
        <v>0</v>
      </c>
      <c r="AR167">
        <v>17</v>
      </c>
      <c r="AS167" t="s">
        <v>2586</v>
      </c>
    </row>
    <row r="168" spans="1:45" x14ac:dyDescent="0.25">
      <c r="A168">
        <v>47</v>
      </c>
      <c r="B168" t="str">
        <f>VLOOKUP(A168,'model groups'!$A$3:$C$86,2,FALSE)</f>
        <v>reef crustacean eaters</v>
      </c>
      <c r="D168" t="s">
        <v>548</v>
      </c>
      <c r="E168" t="s">
        <v>548</v>
      </c>
      <c r="G168" t="s">
        <v>195</v>
      </c>
      <c r="H168" t="s">
        <v>538</v>
      </c>
      <c r="I168" t="s">
        <v>539</v>
      </c>
      <c r="T168" t="str">
        <f>IF(OR(AK168=1,AN168=1),"reef","no")</f>
        <v>reef</v>
      </c>
      <c r="U168" s="1"/>
      <c r="V168" s="1"/>
      <c r="W168" s="1"/>
      <c r="X168" s="1"/>
      <c r="Y168" s="1"/>
      <c r="Z168" s="1"/>
      <c r="AA168" s="1"/>
      <c r="AB168" s="1"/>
      <c r="AG168">
        <v>0</v>
      </c>
      <c r="AH168">
        <v>0</v>
      </c>
      <c r="AI168">
        <v>0</v>
      </c>
      <c r="AJ168">
        <v>0</v>
      </c>
      <c r="AK168">
        <v>0</v>
      </c>
      <c r="AL168">
        <v>0</v>
      </c>
      <c r="AM168">
        <v>0</v>
      </c>
      <c r="AN168">
        <v>1</v>
      </c>
      <c r="AO168">
        <v>0</v>
      </c>
      <c r="AP168">
        <v>0</v>
      </c>
      <c r="AQ168">
        <v>1</v>
      </c>
      <c r="AR168">
        <v>17</v>
      </c>
      <c r="AS168" t="s">
        <v>2586</v>
      </c>
    </row>
    <row r="169" spans="1:45" x14ac:dyDescent="0.25">
      <c r="A169">
        <v>47</v>
      </c>
      <c r="B169" t="str">
        <f>VLOOKUP(A169,'model groups'!$A$3:$C$86,2,FALSE)</f>
        <v>reef crustacean eaters</v>
      </c>
      <c r="C169" t="s">
        <v>549</v>
      </c>
      <c r="D169" t="s">
        <v>550</v>
      </c>
      <c r="E169" t="s">
        <v>550</v>
      </c>
      <c r="G169" t="s">
        <v>195</v>
      </c>
      <c r="H169" t="s">
        <v>470</v>
      </c>
      <c r="I169" t="s">
        <v>471</v>
      </c>
      <c r="J169" t="s">
        <v>533</v>
      </c>
      <c r="K169" t="s">
        <v>551</v>
      </c>
      <c r="L169">
        <v>0.92649175900000003</v>
      </c>
      <c r="M169">
        <v>8.5761214595000013</v>
      </c>
      <c r="N169">
        <v>31.451041149999998</v>
      </c>
      <c r="O169">
        <v>3.5533333329999999</v>
      </c>
      <c r="P169">
        <v>31.02</v>
      </c>
      <c r="Q169">
        <v>1.4472</v>
      </c>
      <c r="R169" t="s">
        <v>70</v>
      </c>
      <c r="S169" t="s">
        <v>77</v>
      </c>
      <c r="T169" t="str">
        <f>IF(OR(AK169=1,AN169=1),"reef","no")</f>
        <v>no</v>
      </c>
      <c r="U169" s="1">
        <v>8.6999995602670119E-2</v>
      </c>
      <c r="V169" s="1">
        <v>0.91300000439732987</v>
      </c>
      <c r="W169" s="1">
        <v>0</v>
      </c>
      <c r="X169" s="1">
        <v>0</v>
      </c>
      <c r="Y169" s="1">
        <v>0</v>
      </c>
      <c r="Z169" s="1">
        <v>0</v>
      </c>
      <c r="AA169" s="1">
        <v>0</v>
      </c>
      <c r="AB169" s="1">
        <v>0</v>
      </c>
      <c r="AC169">
        <v>0</v>
      </c>
      <c r="AD169">
        <v>0</v>
      </c>
      <c r="AE169">
        <v>0</v>
      </c>
      <c r="AF169">
        <v>0</v>
      </c>
      <c r="AG169">
        <v>1</v>
      </c>
      <c r="AH169">
        <v>0</v>
      </c>
      <c r="AI169">
        <v>0</v>
      </c>
      <c r="AJ169">
        <v>0</v>
      </c>
      <c r="AK169">
        <v>0</v>
      </c>
      <c r="AL169">
        <v>0</v>
      </c>
      <c r="AM169">
        <v>1</v>
      </c>
      <c r="AN169">
        <v>0</v>
      </c>
      <c r="AO169">
        <v>0</v>
      </c>
      <c r="AP169">
        <v>0</v>
      </c>
      <c r="AQ169">
        <v>0</v>
      </c>
      <c r="AR169">
        <v>17</v>
      </c>
      <c r="AS169" t="s">
        <v>2586</v>
      </c>
    </row>
    <row r="170" spans="1:45" x14ac:dyDescent="0.25">
      <c r="A170">
        <v>47</v>
      </c>
      <c r="B170" t="str">
        <f>VLOOKUP(A170,'model groups'!$A$3:$C$86,2,FALSE)</f>
        <v>reef crustacean eaters</v>
      </c>
      <c r="D170" t="s">
        <v>552</v>
      </c>
      <c r="E170" t="s">
        <v>552</v>
      </c>
      <c r="G170" t="s">
        <v>241</v>
      </c>
      <c r="H170" t="s">
        <v>553</v>
      </c>
      <c r="I170" t="s">
        <v>554</v>
      </c>
      <c r="J170" t="s">
        <v>555</v>
      </c>
      <c r="K170" t="s">
        <v>556</v>
      </c>
      <c r="AR170">
        <v>17</v>
      </c>
      <c r="AS170" t="s">
        <v>2586</v>
      </c>
    </row>
    <row r="171" spans="1:45" x14ac:dyDescent="0.25">
      <c r="A171">
        <v>47</v>
      </c>
      <c r="B171" t="str">
        <f>VLOOKUP(A171,'model groups'!$A$3:$C$86,2,FALSE)</f>
        <v>reef crustacean eaters</v>
      </c>
      <c r="C171" t="s">
        <v>557</v>
      </c>
      <c r="D171" t="s">
        <v>558</v>
      </c>
      <c r="E171" t="s">
        <v>558</v>
      </c>
      <c r="G171" t="s">
        <v>195</v>
      </c>
      <c r="H171" t="s">
        <v>196</v>
      </c>
      <c r="I171" t="s">
        <v>559</v>
      </c>
      <c r="J171" t="s">
        <v>560</v>
      </c>
      <c r="K171" t="s">
        <v>561</v>
      </c>
      <c r="L171">
        <v>1.040032415</v>
      </c>
      <c r="M171">
        <v>7.7408319495000004</v>
      </c>
      <c r="N171">
        <v>26.285289379999998</v>
      </c>
      <c r="O171">
        <v>3.4266666670000001</v>
      </c>
      <c r="P171">
        <v>21.73</v>
      </c>
      <c r="Q171">
        <v>1.1987000000000001</v>
      </c>
      <c r="R171" t="s">
        <v>70</v>
      </c>
      <c r="S171" t="s">
        <v>77</v>
      </c>
      <c r="T171" t="str">
        <f>IF(OR(AK171=1,AN171=1),"reef","no")</f>
        <v>reef</v>
      </c>
      <c r="U171" s="1">
        <v>0</v>
      </c>
      <c r="V171" s="1">
        <v>0.67683384372805822</v>
      </c>
      <c r="W171" s="1">
        <v>0</v>
      </c>
      <c r="X171" s="1">
        <v>0</v>
      </c>
      <c r="Y171" s="1">
        <v>0</v>
      </c>
      <c r="Z171" s="1">
        <v>0</v>
      </c>
      <c r="AA171" s="1">
        <v>0.3231661562719419</v>
      </c>
      <c r="AB171" s="1">
        <v>0</v>
      </c>
      <c r="AC171">
        <v>0</v>
      </c>
      <c r="AD171">
        <v>0</v>
      </c>
      <c r="AE171">
        <v>0</v>
      </c>
      <c r="AF171">
        <v>0</v>
      </c>
      <c r="AG171">
        <v>1</v>
      </c>
      <c r="AH171">
        <v>0</v>
      </c>
      <c r="AI171">
        <v>0</v>
      </c>
      <c r="AJ171">
        <v>0</v>
      </c>
      <c r="AK171">
        <v>1</v>
      </c>
      <c r="AL171">
        <v>0</v>
      </c>
      <c r="AM171">
        <v>1</v>
      </c>
      <c r="AN171">
        <v>1</v>
      </c>
      <c r="AO171">
        <v>0</v>
      </c>
      <c r="AP171">
        <v>0</v>
      </c>
      <c r="AQ171">
        <v>1</v>
      </c>
      <c r="AR171">
        <v>17</v>
      </c>
      <c r="AS171" t="s">
        <v>2586</v>
      </c>
    </row>
    <row r="172" spans="1:45" x14ac:dyDescent="0.25">
      <c r="A172">
        <v>47</v>
      </c>
      <c r="B172" t="str">
        <f>VLOOKUP(A172,'model groups'!$A$3:$C$86,2,FALSE)</f>
        <v>reef crustacean eaters</v>
      </c>
      <c r="C172" t="s">
        <v>562</v>
      </c>
      <c r="D172" t="s">
        <v>563</v>
      </c>
      <c r="E172" t="s">
        <v>563</v>
      </c>
      <c r="G172" t="s">
        <v>241</v>
      </c>
      <c r="H172" t="s">
        <v>379</v>
      </c>
      <c r="I172" t="s">
        <v>559</v>
      </c>
      <c r="J172" t="s">
        <v>560</v>
      </c>
      <c r="AR172">
        <v>17</v>
      </c>
      <c r="AS172" t="s">
        <v>2586</v>
      </c>
    </row>
    <row r="173" spans="1:45" x14ac:dyDescent="0.25">
      <c r="A173">
        <v>47</v>
      </c>
      <c r="B173" t="str">
        <f>VLOOKUP(A173,'model groups'!$A$3:$C$86,2,FALSE)</f>
        <v>reef crustacean eaters</v>
      </c>
      <c r="C173" t="s">
        <v>564</v>
      </c>
      <c r="D173" t="s">
        <v>565</v>
      </c>
      <c r="E173" t="s">
        <v>565</v>
      </c>
      <c r="G173" t="s">
        <v>195</v>
      </c>
      <c r="H173" t="s">
        <v>196</v>
      </c>
      <c r="I173" t="s">
        <v>559</v>
      </c>
      <c r="J173" t="s">
        <v>566</v>
      </c>
      <c r="K173" t="s">
        <v>567</v>
      </c>
      <c r="L173">
        <v>1.0964968980000001</v>
      </c>
      <c r="M173">
        <v>8.3234951119999998</v>
      </c>
      <c r="N173">
        <v>24.21454782</v>
      </c>
      <c r="O173">
        <v>3.536666667</v>
      </c>
      <c r="P173">
        <v>19.899999999999999</v>
      </c>
      <c r="Q173">
        <v>1.24935</v>
      </c>
      <c r="R173" t="s">
        <v>70</v>
      </c>
      <c r="S173" t="s">
        <v>77</v>
      </c>
      <c r="T173" t="str">
        <f>IF(OR(AK173=1,AN173=1),"reef","no")</f>
        <v>reef</v>
      </c>
      <c r="U173" s="1">
        <v>3.7000001559660045E-2</v>
      </c>
      <c r="V173" s="1">
        <v>0.94699999773345989</v>
      </c>
      <c r="W173" s="1">
        <v>0</v>
      </c>
      <c r="X173" s="1">
        <v>0</v>
      </c>
      <c r="Y173" s="1">
        <v>0</v>
      </c>
      <c r="Z173" s="1">
        <v>0</v>
      </c>
      <c r="AA173" s="1">
        <v>0</v>
      </c>
      <c r="AB173" s="1">
        <v>1.600000070688002E-2</v>
      </c>
      <c r="AC173">
        <v>0</v>
      </c>
      <c r="AD173">
        <v>0</v>
      </c>
      <c r="AE173">
        <v>0</v>
      </c>
      <c r="AF173">
        <v>0</v>
      </c>
      <c r="AG173">
        <v>0</v>
      </c>
      <c r="AH173">
        <v>0</v>
      </c>
      <c r="AI173">
        <v>0</v>
      </c>
      <c r="AJ173">
        <v>0</v>
      </c>
      <c r="AK173">
        <v>0</v>
      </c>
      <c r="AL173">
        <v>0</v>
      </c>
      <c r="AM173">
        <v>0</v>
      </c>
      <c r="AN173">
        <v>1</v>
      </c>
      <c r="AO173">
        <v>0</v>
      </c>
      <c r="AP173">
        <v>0</v>
      </c>
      <c r="AQ173">
        <v>0</v>
      </c>
      <c r="AR173">
        <v>17</v>
      </c>
      <c r="AS173" t="s">
        <v>2586</v>
      </c>
    </row>
    <row r="174" spans="1:45" x14ac:dyDescent="0.25">
      <c r="A174">
        <v>47</v>
      </c>
      <c r="B174" t="str">
        <f>VLOOKUP(A174,'model groups'!$A$3:$C$86,2,FALSE)</f>
        <v>reef crustacean eaters</v>
      </c>
      <c r="C174" t="s">
        <v>568</v>
      </c>
      <c r="D174" t="s">
        <v>569</v>
      </c>
      <c r="E174" t="s">
        <v>569</v>
      </c>
      <c r="G174" t="s">
        <v>195</v>
      </c>
      <c r="H174" t="s">
        <v>196</v>
      </c>
      <c r="I174" t="s">
        <v>559</v>
      </c>
      <c r="J174" t="s">
        <v>566</v>
      </c>
      <c r="K174" t="s">
        <v>570</v>
      </c>
      <c r="O174">
        <v>3.37</v>
      </c>
      <c r="P174">
        <v>25.54</v>
      </c>
      <c r="Q174">
        <v>1.2593799999999999</v>
      </c>
      <c r="R174" t="s">
        <v>70</v>
      </c>
      <c r="S174" t="s">
        <v>109</v>
      </c>
      <c r="T174" t="str">
        <f>IF(OR(AK174=1,AN174=1),"reef","no")</f>
        <v>reef</v>
      </c>
      <c r="U174" s="1">
        <v>3.7000001559660045E-2</v>
      </c>
      <c r="V174" s="1">
        <v>0.94699999773345989</v>
      </c>
      <c r="W174" s="1">
        <v>0</v>
      </c>
      <c r="X174" s="1">
        <v>0</v>
      </c>
      <c r="Y174" s="1">
        <v>0</v>
      </c>
      <c r="Z174" s="1">
        <v>0</v>
      </c>
      <c r="AA174" s="1">
        <v>0</v>
      </c>
      <c r="AB174" s="1">
        <v>1.600000070688002E-2</v>
      </c>
      <c r="AC174">
        <v>0</v>
      </c>
      <c r="AD174">
        <v>1</v>
      </c>
      <c r="AE174">
        <v>0</v>
      </c>
      <c r="AF174">
        <v>1</v>
      </c>
      <c r="AG174">
        <v>0</v>
      </c>
      <c r="AH174">
        <v>0</v>
      </c>
      <c r="AI174">
        <v>0</v>
      </c>
      <c r="AJ174">
        <v>0</v>
      </c>
      <c r="AK174">
        <v>0</v>
      </c>
      <c r="AL174">
        <v>0</v>
      </c>
      <c r="AM174">
        <v>0</v>
      </c>
      <c r="AN174">
        <v>1</v>
      </c>
      <c r="AO174">
        <v>0</v>
      </c>
      <c r="AP174">
        <v>0</v>
      </c>
      <c r="AQ174">
        <v>0</v>
      </c>
      <c r="AR174">
        <v>17</v>
      </c>
      <c r="AS174" t="s">
        <v>2586</v>
      </c>
    </row>
    <row r="175" spans="1:45" x14ac:dyDescent="0.25">
      <c r="A175">
        <v>47</v>
      </c>
      <c r="B175" t="str">
        <f>VLOOKUP(A175,'model groups'!$A$3:$C$86,2,FALSE)</f>
        <v>reef crustacean eaters</v>
      </c>
      <c r="C175" t="s">
        <v>571</v>
      </c>
      <c r="D175" t="s">
        <v>572</v>
      </c>
      <c r="E175" t="s">
        <v>572</v>
      </c>
      <c r="G175" t="s">
        <v>195</v>
      </c>
      <c r="H175" t="s">
        <v>196</v>
      </c>
      <c r="I175" t="s">
        <v>559</v>
      </c>
      <c r="J175" t="s">
        <v>566</v>
      </c>
      <c r="K175" t="s">
        <v>573</v>
      </c>
      <c r="L175">
        <v>1.040032415</v>
      </c>
      <c r="M175">
        <v>7.9377567335000005</v>
      </c>
      <c r="N175">
        <v>26.285289379999998</v>
      </c>
      <c r="O175">
        <v>3.4533333329999998</v>
      </c>
      <c r="P175">
        <v>21.73</v>
      </c>
      <c r="Q175">
        <v>1.2694099999999999</v>
      </c>
      <c r="R175" t="s">
        <v>70</v>
      </c>
      <c r="S175" t="s">
        <v>77</v>
      </c>
      <c r="T175" t="str">
        <f>IF(OR(AK175=1,AN175=1),"reef","no")</f>
        <v>reef</v>
      </c>
      <c r="U175" s="1">
        <v>3.7000001559660045E-2</v>
      </c>
      <c r="V175" s="1">
        <v>0.94699999773345989</v>
      </c>
      <c r="W175" s="1">
        <v>0</v>
      </c>
      <c r="X175" s="1">
        <v>0</v>
      </c>
      <c r="Y175" s="1">
        <v>0</v>
      </c>
      <c r="Z175" s="1">
        <v>0</v>
      </c>
      <c r="AA175" s="1">
        <v>0</v>
      </c>
      <c r="AB175" s="1">
        <v>1.600000070688002E-2</v>
      </c>
      <c r="AC175">
        <v>0</v>
      </c>
      <c r="AD175">
        <v>1</v>
      </c>
      <c r="AE175">
        <v>0</v>
      </c>
      <c r="AF175">
        <v>1</v>
      </c>
      <c r="AG175">
        <v>0</v>
      </c>
      <c r="AH175">
        <v>0</v>
      </c>
      <c r="AI175">
        <v>0</v>
      </c>
      <c r="AJ175">
        <v>0</v>
      </c>
      <c r="AK175">
        <v>0</v>
      </c>
      <c r="AL175">
        <v>0</v>
      </c>
      <c r="AM175">
        <v>1</v>
      </c>
      <c r="AN175">
        <v>1</v>
      </c>
      <c r="AO175">
        <v>0</v>
      </c>
      <c r="AP175">
        <v>0</v>
      </c>
      <c r="AQ175">
        <v>0</v>
      </c>
      <c r="AR175">
        <v>17</v>
      </c>
      <c r="AS175" t="s">
        <v>2586</v>
      </c>
    </row>
    <row r="176" spans="1:45" x14ac:dyDescent="0.25">
      <c r="A176">
        <v>47</v>
      </c>
      <c r="B176" t="str">
        <f>VLOOKUP(A176,'model groups'!$A$3:$C$86,2,FALSE)</f>
        <v>reef crustacean eaters</v>
      </c>
      <c r="C176" t="s">
        <v>571</v>
      </c>
      <c r="D176" t="s">
        <v>574</v>
      </c>
      <c r="E176" t="s">
        <v>574</v>
      </c>
      <c r="G176" t="s">
        <v>195</v>
      </c>
      <c r="I176" t="s">
        <v>559</v>
      </c>
      <c r="J176" t="s">
        <v>566</v>
      </c>
      <c r="K176" t="s">
        <v>573</v>
      </c>
      <c r="L176">
        <v>1.040032415</v>
      </c>
      <c r="M176">
        <v>7.9377567335000005</v>
      </c>
      <c r="N176">
        <v>26.285289379999998</v>
      </c>
      <c r="O176">
        <v>3.4533333329999998</v>
      </c>
      <c r="P176">
        <v>21.73</v>
      </c>
      <c r="Q176">
        <v>1.2694099999999999</v>
      </c>
      <c r="R176" t="s">
        <v>70</v>
      </c>
      <c r="S176" t="s">
        <v>77</v>
      </c>
      <c r="T176" t="str">
        <f>IF(OR(AK176=1,AN176=1),"reef","no")</f>
        <v>no</v>
      </c>
      <c r="U176" s="1">
        <v>3.7000001559660045E-2</v>
      </c>
      <c r="V176" s="1">
        <v>0.94699999773345989</v>
      </c>
      <c r="W176" s="1">
        <v>0</v>
      </c>
      <c r="X176" s="1">
        <v>0</v>
      </c>
      <c r="Y176" s="1">
        <v>0</v>
      </c>
      <c r="Z176" s="1">
        <v>0</v>
      </c>
      <c r="AA176" s="1">
        <v>0</v>
      </c>
      <c r="AB176" s="1">
        <v>1.600000070688002E-2</v>
      </c>
      <c r="AC176">
        <v>0</v>
      </c>
      <c r="AD176">
        <v>1</v>
      </c>
      <c r="AE176">
        <v>0</v>
      </c>
      <c r="AF176">
        <v>1</v>
      </c>
      <c r="AG176">
        <v>1</v>
      </c>
      <c r="AH176">
        <v>0</v>
      </c>
      <c r="AI176">
        <v>0</v>
      </c>
      <c r="AJ176">
        <v>0</v>
      </c>
      <c r="AK176">
        <v>0</v>
      </c>
      <c r="AL176">
        <v>0</v>
      </c>
      <c r="AM176">
        <v>0</v>
      </c>
      <c r="AN176">
        <v>0</v>
      </c>
      <c r="AO176">
        <v>0</v>
      </c>
      <c r="AP176">
        <v>0</v>
      </c>
      <c r="AQ176">
        <v>0</v>
      </c>
      <c r="AR176">
        <v>17</v>
      </c>
      <c r="AS176" t="s">
        <v>2586</v>
      </c>
    </row>
    <row r="177" spans="1:45" x14ac:dyDescent="0.25">
      <c r="A177">
        <v>47</v>
      </c>
      <c r="B177" t="str">
        <f>VLOOKUP(A177,'model groups'!$A$3:$C$86,2,FALSE)</f>
        <v>reef crustacean eaters</v>
      </c>
      <c r="D177" t="s">
        <v>575</v>
      </c>
      <c r="E177" t="s">
        <v>576</v>
      </c>
      <c r="G177" t="s">
        <v>195</v>
      </c>
      <c r="I177" t="s">
        <v>559</v>
      </c>
      <c r="J177" t="s">
        <v>566</v>
      </c>
      <c r="T177" t="str">
        <f>IF(OR(AK177=1,AN177=1),"reef","no")</f>
        <v>reef</v>
      </c>
      <c r="U177" s="1"/>
      <c r="V177" s="1"/>
      <c r="W177" s="1"/>
      <c r="X177" s="1"/>
      <c r="Y177" s="1"/>
      <c r="Z177" s="1"/>
      <c r="AA177" s="1"/>
      <c r="AB177" s="1"/>
      <c r="AG177">
        <v>0</v>
      </c>
      <c r="AH177">
        <v>0</v>
      </c>
      <c r="AI177">
        <v>0</v>
      </c>
      <c r="AJ177">
        <v>0</v>
      </c>
      <c r="AK177">
        <v>1</v>
      </c>
      <c r="AL177">
        <v>0</v>
      </c>
      <c r="AM177">
        <v>0</v>
      </c>
      <c r="AN177">
        <v>0</v>
      </c>
      <c r="AO177">
        <v>0</v>
      </c>
      <c r="AP177">
        <v>0</v>
      </c>
      <c r="AQ177">
        <v>0</v>
      </c>
      <c r="AR177">
        <v>17</v>
      </c>
      <c r="AS177" t="s">
        <v>2586</v>
      </c>
    </row>
    <row r="178" spans="1:45" x14ac:dyDescent="0.25">
      <c r="A178">
        <v>47</v>
      </c>
      <c r="B178" t="str">
        <f>VLOOKUP(A178,'model groups'!$A$3:$C$86,2,FALSE)</f>
        <v>reef crustacean eaters</v>
      </c>
      <c r="C178" t="s">
        <v>577</v>
      </c>
      <c r="D178" t="s">
        <v>578</v>
      </c>
      <c r="E178" t="s">
        <v>578</v>
      </c>
      <c r="G178" t="s">
        <v>241</v>
      </c>
      <c r="H178" t="s">
        <v>379</v>
      </c>
      <c r="I178" t="s">
        <v>559</v>
      </c>
      <c r="J178" t="s">
        <v>579</v>
      </c>
      <c r="AR178">
        <v>17</v>
      </c>
      <c r="AS178" t="s">
        <v>2586</v>
      </c>
    </row>
    <row r="179" spans="1:45" x14ac:dyDescent="0.25">
      <c r="A179">
        <v>47</v>
      </c>
      <c r="B179" t="str">
        <f>VLOOKUP(A179,'model groups'!$A$3:$C$86,2,FALSE)</f>
        <v>reef crustacean eaters</v>
      </c>
      <c r="C179" t="s">
        <v>2546</v>
      </c>
      <c r="D179" t="s">
        <v>2546</v>
      </c>
      <c r="E179" t="s">
        <v>581</v>
      </c>
      <c r="G179" t="s">
        <v>195</v>
      </c>
      <c r="H179" t="s">
        <v>413</v>
      </c>
      <c r="I179" t="s">
        <v>408</v>
      </c>
      <c r="J179" t="s">
        <v>480</v>
      </c>
      <c r="K179" t="s">
        <v>2547</v>
      </c>
      <c r="U179" s="1"/>
      <c r="V179" s="1"/>
      <c r="W179" s="1"/>
      <c r="X179" s="1"/>
      <c r="Y179" s="1"/>
      <c r="Z179" s="1"/>
      <c r="AA179" s="1"/>
      <c r="AB179" s="1"/>
      <c r="AR179">
        <v>17</v>
      </c>
      <c r="AS179" t="s">
        <v>2586</v>
      </c>
    </row>
    <row r="180" spans="1:45" x14ac:dyDescent="0.25">
      <c r="A180">
        <v>47</v>
      </c>
      <c r="B180" t="str">
        <f>VLOOKUP(A180,'model groups'!$A$3:$C$86,2,FALSE)</f>
        <v>reef crustacean eaters</v>
      </c>
      <c r="C180" t="s">
        <v>580</v>
      </c>
      <c r="D180" t="s">
        <v>581</v>
      </c>
      <c r="E180" t="s">
        <v>581</v>
      </c>
      <c r="G180" t="s">
        <v>195</v>
      </c>
      <c r="H180" t="s">
        <v>413</v>
      </c>
      <c r="I180" t="s">
        <v>408</v>
      </c>
      <c r="J180" t="s">
        <v>480</v>
      </c>
      <c r="K180" t="s">
        <v>582</v>
      </c>
      <c r="L180">
        <v>1.5744053410000001</v>
      </c>
      <c r="M180">
        <v>9.2765280415000007</v>
      </c>
      <c r="N180">
        <v>13.81120759</v>
      </c>
      <c r="O180">
        <v>3.7744444439999998</v>
      </c>
      <c r="P180">
        <v>29.01</v>
      </c>
      <c r="Q180">
        <v>0.731549</v>
      </c>
      <c r="R180" t="s">
        <v>70</v>
      </c>
      <c r="S180" t="s">
        <v>77</v>
      </c>
      <c r="T180" t="str">
        <f>IF(OR(AK180=1,AN180=1),"reef","no")</f>
        <v>no</v>
      </c>
      <c r="U180" s="1">
        <v>4.8666666428473337E-2</v>
      </c>
      <c r="V180" s="1">
        <v>0.79496666671027427</v>
      </c>
      <c r="W180" s="1">
        <v>3.1833333373761666E-2</v>
      </c>
      <c r="X180" s="1">
        <v>0</v>
      </c>
      <c r="Y180" s="1">
        <v>0</v>
      </c>
      <c r="Z180" s="1">
        <v>0</v>
      </c>
      <c r="AA180" s="1">
        <v>5.4200000204833995E-2</v>
      </c>
      <c r="AB180" s="1">
        <v>7.033333328265666E-2</v>
      </c>
      <c r="AC180">
        <v>0</v>
      </c>
      <c r="AD180">
        <v>0</v>
      </c>
      <c r="AE180">
        <v>1</v>
      </c>
      <c r="AF180">
        <v>1</v>
      </c>
      <c r="AG180">
        <v>1</v>
      </c>
      <c r="AH180">
        <v>0</v>
      </c>
      <c r="AI180">
        <v>0</v>
      </c>
      <c r="AJ180">
        <v>0</v>
      </c>
      <c r="AK180">
        <v>0</v>
      </c>
      <c r="AL180">
        <v>0</v>
      </c>
      <c r="AM180">
        <v>1</v>
      </c>
      <c r="AN180">
        <v>0</v>
      </c>
      <c r="AO180">
        <v>0</v>
      </c>
      <c r="AP180">
        <v>0</v>
      </c>
      <c r="AQ180">
        <v>0</v>
      </c>
      <c r="AR180">
        <v>17</v>
      </c>
      <c r="AS180" t="s">
        <v>2586</v>
      </c>
    </row>
    <row r="181" spans="1:45" x14ac:dyDescent="0.25">
      <c r="A181">
        <v>48</v>
      </c>
      <c r="B181" t="str">
        <f>VLOOKUP(A181,'model groups'!$A$3:$C$86,2,FALSE)</f>
        <v>reef invertivores</v>
      </c>
      <c r="C181" t="s">
        <v>583</v>
      </c>
      <c r="D181" t="s">
        <v>584</v>
      </c>
      <c r="E181" t="s">
        <v>584</v>
      </c>
      <c r="G181" t="s">
        <v>195</v>
      </c>
      <c r="H181" t="s">
        <v>585</v>
      </c>
      <c r="I181" t="s">
        <v>586</v>
      </c>
      <c r="J181" t="s">
        <v>587</v>
      </c>
      <c r="K181" t="s">
        <v>588</v>
      </c>
      <c r="L181">
        <v>1.1981004040000001</v>
      </c>
      <c r="M181">
        <v>11.64765259</v>
      </c>
      <c r="N181">
        <v>21.10297181</v>
      </c>
      <c r="O181">
        <v>3.443333333</v>
      </c>
      <c r="P181">
        <v>15.01</v>
      </c>
      <c r="Q181">
        <v>2.5594299999999999</v>
      </c>
      <c r="R181" t="s">
        <v>70</v>
      </c>
      <c r="S181" t="s">
        <v>77</v>
      </c>
      <c r="T181" t="str">
        <f>IF(OR(AK181=1,AN181=1),"reef","no")</f>
        <v>reef</v>
      </c>
      <c r="U181" s="1">
        <v>0</v>
      </c>
      <c r="V181" s="1">
        <v>2.1102109158594631E-2</v>
      </c>
      <c r="W181" s="1">
        <v>0</v>
      </c>
      <c r="X181" s="1">
        <v>5.3705369391031522E-2</v>
      </c>
      <c r="Y181" s="1">
        <v>0</v>
      </c>
      <c r="Z181" s="1">
        <v>0.52795280442236747</v>
      </c>
      <c r="AA181" s="1">
        <v>0.39723971702800642</v>
      </c>
      <c r="AB181" s="1">
        <v>0</v>
      </c>
      <c r="AC181">
        <v>0</v>
      </c>
      <c r="AD181">
        <v>0</v>
      </c>
      <c r="AE181">
        <v>0</v>
      </c>
      <c r="AF181">
        <v>1</v>
      </c>
      <c r="AG181">
        <v>1</v>
      </c>
      <c r="AH181">
        <v>0</v>
      </c>
      <c r="AI181">
        <v>0</v>
      </c>
      <c r="AJ181">
        <v>0</v>
      </c>
      <c r="AK181">
        <v>1</v>
      </c>
      <c r="AL181">
        <v>0</v>
      </c>
      <c r="AM181">
        <v>1</v>
      </c>
      <c r="AN181">
        <v>1</v>
      </c>
      <c r="AO181">
        <v>0</v>
      </c>
      <c r="AP181">
        <v>0</v>
      </c>
      <c r="AQ181">
        <v>0</v>
      </c>
      <c r="AR181">
        <v>17</v>
      </c>
      <c r="AS181" t="s">
        <v>2586</v>
      </c>
    </row>
    <row r="182" spans="1:45" x14ac:dyDescent="0.25">
      <c r="A182">
        <v>48</v>
      </c>
      <c r="B182" t="str">
        <f>VLOOKUP(A182,'model groups'!$A$3:$C$86,2,FALSE)</f>
        <v>reef invertivores</v>
      </c>
      <c r="C182" t="s">
        <v>589</v>
      </c>
      <c r="D182" t="s">
        <v>590</v>
      </c>
      <c r="E182" t="s">
        <v>590</v>
      </c>
      <c r="G182" t="s">
        <v>195</v>
      </c>
      <c r="H182" t="s">
        <v>196</v>
      </c>
      <c r="I182" t="s">
        <v>586</v>
      </c>
      <c r="J182" t="s">
        <v>587</v>
      </c>
      <c r="K182" t="s">
        <v>591</v>
      </c>
      <c r="L182">
        <v>1.437842525</v>
      </c>
      <c r="M182">
        <v>18.83256274</v>
      </c>
      <c r="N182">
        <v>15.89979072</v>
      </c>
      <c r="O182">
        <v>3.3933333330000002</v>
      </c>
      <c r="P182">
        <v>11.53</v>
      </c>
      <c r="Q182">
        <v>2.11002</v>
      </c>
      <c r="R182" t="s">
        <v>70</v>
      </c>
      <c r="S182" t="s">
        <v>77</v>
      </c>
      <c r="T182" t="str">
        <f>IF(OR(AK182=1,AN182=1),"reef","no")</f>
        <v>reef</v>
      </c>
      <c r="U182" s="1">
        <v>0</v>
      </c>
      <c r="V182" s="1">
        <v>0.28300000189999996</v>
      </c>
      <c r="W182" s="1">
        <v>0.43299999239999998</v>
      </c>
      <c r="X182" s="1">
        <v>0</v>
      </c>
      <c r="Y182" s="1">
        <v>0</v>
      </c>
      <c r="Z182" s="1">
        <v>0.1169999981</v>
      </c>
      <c r="AA182" s="1">
        <v>0.16700000760000003</v>
      </c>
      <c r="AB182" s="1">
        <v>0</v>
      </c>
      <c r="AC182">
        <v>0</v>
      </c>
      <c r="AD182">
        <v>0</v>
      </c>
      <c r="AE182">
        <v>0</v>
      </c>
      <c r="AF182">
        <v>0</v>
      </c>
      <c r="AG182">
        <v>1</v>
      </c>
      <c r="AH182">
        <v>0</v>
      </c>
      <c r="AI182">
        <v>0</v>
      </c>
      <c r="AJ182">
        <v>0</v>
      </c>
      <c r="AK182">
        <v>1</v>
      </c>
      <c r="AL182">
        <v>0</v>
      </c>
      <c r="AM182">
        <v>0</v>
      </c>
      <c r="AN182">
        <v>1</v>
      </c>
      <c r="AO182">
        <v>0</v>
      </c>
      <c r="AP182">
        <v>0</v>
      </c>
      <c r="AQ182">
        <v>0</v>
      </c>
      <c r="AR182">
        <v>17</v>
      </c>
      <c r="AS182" t="s">
        <v>2586</v>
      </c>
    </row>
    <row r="183" spans="1:45" x14ac:dyDescent="0.25">
      <c r="A183">
        <v>48</v>
      </c>
      <c r="B183" t="str">
        <f>VLOOKUP(A183,'model groups'!$A$3:$C$86,2,FALSE)</f>
        <v>reef invertivores</v>
      </c>
      <c r="D183" t="s">
        <v>592</v>
      </c>
      <c r="E183" t="s">
        <v>593</v>
      </c>
      <c r="G183" t="s">
        <v>195</v>
      </c>
      <c r="H183" t="s">
        <v>585</v>
      </c>
      <c r="I183" t="s">
        <v>586</v>
      </c>
      <c r="J183" t="s">
        <v>587</v>
      </c>
      <c r="T183" t="str">
        <f>IF(OR(AK183=1,AN183=1),"reef","no")</f>
        <v>reef</v>
      </c>
      <c r="U183" s="1"/>
      <c r="V183" s="1"/>
      <c r="W183" s="1"/>
      <c r="X183" s="1"/>
      <c r="Y183" s="1"/>
      <c r="Z183" s="1"/>
      <c r="AA183" s="1"/>
      <c r="AB183" s="1"/>
      <c r="AG183">
        <v>0</v>
      </c>
      <c r="AH183">
        <v>0</v>
      </c>
      <c r="AI183">
        <v>0</v>
      </c>
      <c r="AJ183">
        <v>0</v>
      </c>
      <c r="AK183">
        <v>1</v>
      </c>
      <c r="AL183">
        <v>0</v>
      </c>
      <c r="AM183">
        <v>0</v>
      </c>
      <c r="AN183">
        <v>0</v>
      </c>
      <c r="AO183">
        <v>0</v>
      </c>
      <c r="AP183">
        <v>0</v>
      </c>
      <c r="AQ183">
        <v>0</v>
      </c>
      <c r="AR183">
        <v>17</v>
      </c>
      <c r="AS183" t="s">
        <v>2586</v>
      </c>
    </row>
    <row r="184" spans="1:45" x14ac:dyDescent="0.25">
      <c r="A184">
        <v>48</v>
      </c>
      <c r="B184" t="str">
        <f>VLOOKUP(A184,'model groups'!$A$3:$C$86,2,FALSE)</f>
        <v>reef invertivores</v>
      </c>
      <c r="C184" t="s">
        <v>594</v>
      </c>
      <c r="D184" t="s">
        <v>595</v>
      </c>
      <c r="E184" t="s">
        <v>595</v>
      </c>
      <c r="G184" t="s">
        <v>195</v>
      </c>
      <c r="H184" t="s">
        <v>585</v>
      </c>
      <c r="I184" t="s">
        <v>586</v>
      </c>
      <c r="J184" t="s">
        <v>596</v>
      </c>
      <c r="K184" t="s">
        <v>597</v>
      </c>
      <c r="L184">
        <v>1.437842525</v>
      </c>
      <c r="M184">
        <v>12.954668014999999</v>
      </c>
      <c r="N184">
        <v>15.89979072</v>
      </c>
      <c r="O184">
        <v>3.32</v>
      </c>
      <c r="P184">
        <v>11.53</v>
      </c>
      <c r="Q184">
        <v>1.9480900000000001</v>
      </c>
      <c r="R184" t="s">
        <v>70</v>
      </c>
      <c r="S184" t="s">
        <v>77</v>
      </c>
      <c r="T184" t="str">
        <f>IF(OR(AK184=1,AN184=1),"reef","no")</f>
        <v>reef</v>
      </c>
      <c r="U184" s="1">
        <v>0</v>
      </c>
      <c r="V184" s="1">
        <v>0.194499998564855</v>
      </c>
      <c r="W184" s="1">
        <v>0.13800000222982001</v>
      </c>
      <c r="X184" s="1">
        <v>0</v>
      </c>
      <c r="Y184" s="1">
        <v>0</v>
      </c>
      <c r="Z184" s="1">
        <v>0</v>
      </c>
      <c r="AA184" s="3">
        <v>0.59199999950488003</v>
      </c>
      <c r="AB184" s="1">
        <v>7.5499999700445006E-2</v>
      </c>
      <c r="AC184">
        <v>0</v>
      </c>
      <c r="AD184">
        <v>0</v>
      </c>
      <c r="AE184">
        <v>0</v>
      </c>
      <c r="AF184">
        <v>1</v>
      </c>
      <c r="AG184">
        <v>0</v>
      </c>
      <c r="AH184">
        <v>0</v>
      </c>
      <c r="AI184">
        <v>0</v>
      </c>
      <c r="AJ184">
        <v>0</v>
      </c>
      <c r="AK184">
        <v>0</v>
      </c>
      <c r="AL184">
        <v>0</v>
      </c>
      <c r="AM184">
        <v>0</v>
      </c>
      <c r="AN184">
        <v>1</v>
      </c>
      <c r="AO184">
        <v>0</v>
      </c>
      <c r="AP184">
        <v>0</v>
      </c>
      <c r="AQ184">
        <v>0</v>
      </c>
      <c r="AR184">
        <v>17</v>
      </c>
      <c r="AS184" t="s">
        <v>2586</v>
      </c>
    </row>
    <row r="185" spans="1:45" x14ac:dyDescent="0.25">
      <c r="A185">
        <v>48</v>
      </c>
      <c r="B185" t="str">
        <f>VLOOKUP(A185,'model groups'!$A$3:$C$86,2,FALSE)</f>
        <v>reef invertivores</v>
      </c>
      <c r="D185" t="s">
        <v>598</v>
      </c>
      <c r="E185" t="s">
        <v>598</v>
      </c>
      <c r="G185" t="s">
        <v>241</v>
      </c>
      <c r="H185" t="s">
        <v>585</v>
      </c>
      <c r="I185" t="s">
        <v>586</v>
      </c>
      <c r="J185" t="s">
        <v>596</v>
      </c>
      <c r="K185" t="s">
        <v>594</v>
      </c>
      <c r="AR185">
        <v>17</v>
      </c>
      <c r="AS185" t="s">
        <v>2586</v>
      </c>
    </row>
    <row r="186" spans="1:45" x14ac:dyDescent="0.25">
      <c r="A186">
        <v>48</v>
      </c>
      <c r="B186" t="str">
        <f>VLOOKUP(A186,'model groups'!$A$3:$C$86,2,FALSE)</f>
        <v>reef invertivores</v>
      </c>
      <c r="C186" t="s">
        <v>599</v>
      </c>
      <c r="D186" t="s">
        <v>600</v>
      </c>
      <c r="E186" t="s">
        <v>600</v>
      </c>
      <c r="G186" t="s">
        <v>195</v>
      </c>
      <c r="H186" t="s">
        <v>470</v>
      </c>
      <c r="I186" t="s">
        <v>601</v>
      </c>
      <c r="J186" t="s">
        <v>602</v>
      </c>
      <c r="K186" t="s">
        <v>603</v>
      </c>
      <c r="L186">
        <v>1.1278411850000001</v>
      </c>
      <c r="N186">
        <v>23.178117499999999</v>
      </c>
      <c r="O186">
        <v>3.29</v>
      </c>
      <c r="P186">
        <v>26.82</v>
      </c>
      <c r="R186" t="s">
        <v>70</v>
      </c>
      <c r="S186" t="s">
        <v>77</v>
      </c>
      <c r="T186" t="str">
        <f>IF(OR(AK186=1,AN186=1),"reef","no")</f>
        <v>no</v>
      </c>
      <c r="U186" s="1">
        <v>0</v>
      </c>
      <c r="V186" s="1">
        <v>0.26</v>
      </c>
      <c r="W186" s="1">
        <v>0</v>
      </c>
      <c r="X186" s="1">
        <v>0.19</v>
      </c>
      <c r="Y186" s="1">
        <v>0</v>
      </c>
      <c r="Z186" s="1">
        <v>0</v>
      </c>
      <c r="AA186" s="1">
        <v>0.51</v>
      </c>
      <c r="AB186" s="1">
        <v>0.04</v>
      </c>
      <c r="AC186">
        <v>1</v>
      </c>
      <c r="AD186">
        <v>0</v>
      </c>
      <c r="AE186">
        <v>0</v>
      </c>
      <c r="AF186">
        <v>0</v>
      </c>
      <c r="AG186">
        <v>1</v>
      </c>
      <c r="AH186">
        <v>0</v>
      </c>
      <c r="AI186">
        <v>0</v>
      </c>
      <c r="AJ186">
        <v>0</v>
      </c>
      <c r="AK186">
        <v>0</v>
      </c>
      <c r="AL186">
        <v>0</v>
      </c>
      <c r="AM186">
        <v>0</v>
      </c>
      <c r="AN186">
        <v>0</v>
      </c>
      <c r="AO186">
        <v>0</v>
      </c>
      <c r="AP186">
        <v>0</v>
      </c>
      <c r="AQ186">
        <v>0</v>
      </c>
      <c r="AR186">
        <v>17</v>
      </c>
      <c r="AS186" t="s">
        <v>2586</v>
      </c>
    </row>
    <row r="187" spans="1:45" x14ac:dyDescent="0.25">
      <c r="A187">
        <v>48</v>
      </c>
      <c r="B187" t="str">
        <f>VLOOKUP(A187,'model groups'!$A$3:$C$86,2,FALSE)</f>
        <v>reef invertivores</v>
      </c>
      <c r="D187" t="s">
        <v>604</v>
      </c>
      <c r="E187" t="s">
        <v>604</v>
      </c>
      <c r="G187" t="s">
        <v>241</v>
      </c>
      <c r="H187" t="s">
        <v>470</v>
      </c>
      <c r="I187" t="s">
        <v>601</v>
      </c>
      <c r="J187" t="s">
        <v>602</v>
      </c>
      <c r="K187" t="s">
        <v>605</v>
      </c>
      <c r="AR187">
        <v>17</v>
      </c>
      <c r="AS187" t="s">
        <v>2586</v>
      </c>
    </row>
    <row r="188" spans="1:45" x14ac:dyDescent="0.25">
      <c r="A188">
        <v>48</v>
      </c>
      <c r="B188" t="str">
        <f>VLOOKUP(A188,'model groups'!$A$3:$C$86,2,FALSE)</f>
        <v>reef invertivores</v>
      </c>
      <c r="D188" t="s">
        <v>606</v>
      </c>
      <c r="E188" t="s">
        <v>606</v>
      </c>
      <c r="G188" t="s">
        <v>241</v>
      </c>
      <c r="H188" t="s">
        <v>470</v>
      </c>
      <c r="I188" t="s">
        <v>601</v>
      </c>
      <c r="J188" t="s">
        <v>602</v>
      </c>
      <c r="K188" t="s">
        <v>599</v>
      </c>
      <c r="AR188">
        <v>17</v>
      </c>
      <c r="AS188" t="s">
        <v>2586</v>
      </c>
    </row>
    <row r="189" spans="1:45" x14ac:dyDescent="0.25">
      <c r="A189">
        <v>48</v>
      </c>
      <c r="B189" t="str">
        <f>VLOOKUP(A189,'model groups'!$A$3:$C$86,2,FALSE)</f>
        <v>reef invertivores</v>
      </c>
      <c r="C189" t="s">
        <v>607</v>
      </c>
      <c r="D189" t="s">
        <v>608</v>
      </c>
      <c r="E189" t="s">
        <v>608</v>
      </c>
      <c r="G189" t="s">
        <v>195</v>
      </c>
      <c r="H189" t="s">
        <v>419</v>
      </c>
      <c r="I189" t="s">
        <v>609</v>
      </c>
      <c r="J189" t="s">
        <v>610</v>
      </c>
      <c r="K189" t="s">
        <v>611</v>
      </c>
      <c r="L189">
        <v>0.97011925499999996</v>
      </c>
      <c r="M189">
        <v>6.1196180279999997</v>
      </c>
      <c r="N189">
        <v>29.28323795</v>
      </c>
      <c r="O189">
        <v>3.34</v>
      </c>
      <c r="P189">
        <v>14.84</v>
      </c>
      <c r="Q189">
        <v>1.12931</v>
      </c>
      <c r="R189" t="s">
        <v>70</v>
      </c>
      <c r="S189" t="s">
        <v>77</v>
      </c>
      <c r="T189" t="str">
        <f>IF(OR(AK189=1,AN189=1),"reef","no")</f>
        <v>reef</v>
      </c>
      <c r="U189" s="1">
        <v>0</v>
      </c>
      <c r="V189" s="1">
        <v>0.47699998491279016</v>
      </c>
      <c r="W189" s="1">
        <v>0</v>
      </c>
      <c r="X189" s="1">
        <v>1.00000000227E-3</v>
      </c>
      <c r="Y189" s="1">
        <v>0</v>
      </c>
      <c r="Z189" s="1">
        <v>0</v>
      </c>
      <c r="AA189" s="3">
        <v>0.52200001508493987</v>
      </c>
      <c r="AB189" s="1">
        <v>0</v>
      </c>
      <c r="AC189">
        <v>0</v>
      </c>
      <c r="AD189">
        <v>0</v>
      </c>
      <c r="AE189">
        <v>1</v>
      </c>
      <c r="AF189">
        <v>1</v>
      </c>
      <c r="AG189">
        <v>1</v>
      </c>
      <c r="AH189">
        <v>0</v>
      </c>
      <c r="AI189">
        <v>0</v>
      </c>
      <c r="AJ189">
        <v>0</v>
      </c>
      <c r="AK189">
        <v>0</v>
      </c>
      <c r="AL189">
        <v>0</v>
      </c>
      <c r="AM189">
        <v>0</v>
      </c>
      <c r="AN189">
        <v>1</v>
      </c>
      <c r="AO189">
        <v>0</v>
      </c>
      <c r="AP189">
        <v>0</v>
      </c>
      <c r="AQ189">
        <v>0</v>
      </c>
      <c r="AR189">
        <v>17</v>
      </c>
      <c r="AS189" t="s">
        <v>2586</v>
      </c>
    </row>
    <row r="190" spans="1:45" x14ac:dyDescent="0.25">
      <c r="A190">
        <v>48</v>
      </c>
      <c r="B190" t="str">
        <f>VLOOKUP(A190,'model groups'!$A$3:$C$86,2,FALSE)</f>
        <v>reef invertivores</v>
      </c>
      <c r="C190" t="s">
        <v>607</v>
      </c>
      <c r="D190" t="s">
        <v>612</v>
      </c>
      <c r="E190" t="s">
        <v>612</v>
      </c>
      <c r="G190" t="s">
        <v>195</v>
      </c>
      <c r="H190" t="s">
        <v>419</v>
      </c>
      <c r="I190" t="s">
        <v>609</v>
      </c>
      <c r="J190" t="s">
        <v>610</v>
      </c>
      <c r="K190" t="s">
        <v>611</v>
      </c>
      <c r="L190">
        <v>0.97011925499999996</v>
      </c>
      <c r="M190">
        <v>6.1196180279999997</v>
      </c>
      <c r="N190">
        <v>29.28323795</v>
      </c>
      <c r="O190">
        <v>3.34</v>
      </c>
      <c r="P190">
        <v>14.84</v>
      </c>
      <c r="Q190">
        <v>1.12931</v>
      </c>
      <c r="R190" t="s">
        <v>70</v>
      </c>
      <c r="S190" t="s">
        <v>77</v>
      </c>
      <c r="T190" t="str">
        <f>IF(OR(AK190=1,AN190=1),"reef","no")</f>
        <v>no</v>
      </c>
      <c r="U190" s="1">
        <v>0</v>
      </c>
      <c r="V190" s="1">
        <v>0.47699998491279016</v>
      </c>
      <c r="W190" s="1">
        <v>0</v>
      </c>
      <c r="X190" s="1">
        <v>1.00000000227E-3</v>
      </c>
      <c r="Y190" s="1">
        <v>0</v>
      </c>
      <c r="Z190" s="1">
        <v>0</v>
      </c>
      <c r="AA190" s="1">
        <v>0.52200001508493987</v>
      </c>
      <c r="AB190" s="1">
        <v>0</v>
      </c>
      <c r="AC190">
        <v>0</v>
      </c>
      <c r="AD190">
        <v>0</v>
      </c>
      <c r="AE190">
        <v>1</v>
      </c>
      <c r="AF190">
        <v>1</v>
      </c>
      <c r="AG190">
        <v>0</v>
      </c>
      <c r="AH190">
        <v>0</v>
      </c>
      <c r="AI190">
        <v>0</v>
      </c>
      <c r="AJ190">
        <v>0</v>
      </c>
      <c r="AK190">
        <v>0</v>
      </c>
      <c r="AL190">
        <v>1</v>
      </c>
      <c r="AM190">
        <v>1</v>
      </c>
      <c r="AN190">
        <v>0</v>
      </c>
      <c r="AO190">
        <v>0</v>
      </c>
      <c r="AP190">
        <v>0</v>
      </c>
      <c r="AQ190">
        <v>0</v>
      </c>
      <c r="AR190">
        <v>17</v>
      </c>
      <c r="AS190" t="s">
        <v>2586</v>
      </c>
    </row>
    <row r="191" spans="1:45" x14ac:dyDescent="0.25">
      <c r="A191">
        <v>48</v>
      </c>
      <c r="B191" t="str">
        <f>VLOOKUP(A191,'model groups'!$A$3:$C$86,2,FALSE)</f>
        <v>reef invertivores</v>
      </c>
      <c r="C191" t="s">
        <v>613</v>
      </c>
      <c r="D191" t="s">
        <v>614</v>
      </c>
      <c r="E191" t="s">
        <v>614</v>
      </c>
      <c r="G191" t="s">
        <v>195</v>
      </c>
      <c r="H191" t="s">
        <v>419</v>
      </c>
      <c r="I191" t="s">
        <v>609</v>
      </c>
      <c r="J191" t="s">
        <v>615</v>
      </c>
      <c r="K191" t="s">
        <v>616</v>
      </c>
      <c r="L191">
        <v>0.67015785400000005</v>
      </c>
      <c r="M191">
        <v>3.7161621304999999</v>
      </c>
      <c r="N191">
        <v>51.994377290000003</v>
      </c>
      <c r="O191">
        <v>3.4766666669999999</v>
      </c>
      <c r="P191">
        <v>27.17</v>
      </c>
      <c r="Q191">
        <v>0.78704499999999999</v>
      </c>
      <c r="R191" t="s">
        <v>70</v>
      </c>
      <c r="S191" t="s">
        <v>77</v>
      </c>
      <c r="T191" t="str">
        <f>IF(OR(AK191=1,AN191=1),"reef","no")</f>
        <v>no</v>
      </c>
      <c r="U191" s="1">
        <v>0</v>
      </c>
      <c r="V191" s="1">
        <v>8.3950001320671555E-2</v>
      </c>
      <c r="W191" s="1">
        <v>0</v>
      </c>
      <c r="X191" s="1">
        <v>0</v>
      </c>
      <c r="Y191" s="1">
        <v>0</v>
      </c>
      <c r="Z191" s="1">
        <v>0</v>
      </c>
      <c r="AA191" s="1">
        <v>0.91604999867932835</v>
      </c>
      <c r="AB191" s="1">
        <v>0</v>
      </c>
      <c r="AC191">
        <v>1</v>
      </c>
      <c r="AD191">
        <v>1</v>
      </c>
      <c r="AE191">
        <v>0</v>
      </c>
      <c r="AF191">
        <v>1</v>
      </c>
      <c r="AG191">
        <v>0</v>
      </c>
      <c r="AH191">
        <v>0</v>
      </c>
      <c r="AI191">
        <v>0</v>
      </c>
      <c r="AJ191">
        <v>0</v>
      </c>
      <c r="AK191">
        <v>0</v>
      </c>
      <c r="AL191">
        <v>0</v>
      </c>
      <c r="AM191">
        <v>1</v>
      </c>
      <c r="AN191">
        <v>0</v>
      </c>
      <c r="AO191">
        <v>0</v>
      </c>
      <c r="AP191">
        <v>0</v>
      </c>
      <c r="AQ191">
        <v>0</v>
      </c>
      <c r="AR191">
        <v>17</v>
      </c>
      <c r="AS191" t="s">
        <v>2586</v>
      </c>
    </row>
    <row r="192" spans="1:45" x14ac:dyDescent="0.25">
      <c r="A192">
        <v>48</v>
      </c>
      <c r="B192" t="str">
        <f>VLOOKUP(A192,'model groups'!$A$3:$C$86,2,FALSE)</f>
        <v>reef invertivores</v>
      </c>
      <c r="C192" t="s">
        <v>617</v>
      </c>
      <c r="D192" t="s">
        <v>618</v>
      </c>
      <c r="E192" t="s">
        <v>618</v>
      </c>
      <c r="G192" t="s">
        <v>241</v>
      </c>
      <c r="H192" t="s">
        <v>319</v>
      </c>
      <c r="I192" t="s">
        <v>449</v>
      </c>
      <c r="J192" t="s">
        <v>619</v>
      </c>
      <c r="AR192">
        <v>17</v>
      </c>
      <c r="AS192" t="s">
        <v>2586</v>
      </c>
    </row>
    <row r="193" spans="1:45" x14ac:dyDescent="0.25">
      <c r="A193">
        <v>48</v>
      </c>
      <c r="B193" t="str">
        <f>VLOOKUP(A193,'model groups'!$A$3:$C$86,2,FALSE)</f>
        <v>reef invertivores</v>
      </c>
      <c r="C193" t="s">
        <v>620</v>
      </c>
      <c r="D193" t="s">
        <v>621</v>
      </c>
      <c r="E193" t="s">
        <v>621</v>
      </c>
      <c r="G193" t="s">
        <v>195</v>
      </c>
      <c r="H193" t="s">
        <v>196</v>
      </c>
      <c r="I193" t="s">
        <v>449</v>
      </c>
      <c r="J193" t="s">
        <v>622</v>
      </c>
      <c r="K193" t="s">
        <v>2538</v>
      </c>
      <c r="L193">
        <v>0.46650233299999999</v>
      </c>
      <c r="M193">
        <v>13.522608829999999</v>
      </c>
      <c r="N193">
        <v>28.266666669999999</v>
      </c>
      <c r="O193">
        <v>3.56</v>
      </c>
      <c r="P193">
        <v>37.49</v>
      </c>
      <c r="Q193">
        <v>2.1025499999999999</v>
      </c>
      <c r="R193" t="s">
        <v>70</v>
      </c>
      <c r="S193" t="s">
        <v>77</v>
      </c>
      <c r="T193" t="str">
        <f>IF(OR(AK193=1,AN193=1),"reef","no")</f>
        <v>reef</v>
      </c>
      <c r="U193" s="1">
        <v>6.6673335308891765E-3</v>
      </c>
      <c r="V193" s="1">
        <v>0.30309697414920544</v>
      </c>
      <c r="W193" s="1">
        <v>0.29359603261581319</v>
      </c>
      <c r="X193" s="1">
        <v>0</v>
      </c>
      <c r="Y193" s="1">
        <v>0</v>
      </c>
      <c r="Z193" s="1">
        <v>0</v>
      </c>
      <c r="AA193" s="1">
        <v>0.22885621977715392</v>
      </c>
      <c r="AB193" s="1">
        <v>0.16778343992693828</v>
      </c>
      <c r="AC193">
        <v>1</v>
      </c>
      <c r="AD193">
        <v>1</v>
      </c>
      <c r="AE193">
        <v>1</v>
      </c>
      <c r="AF193">
        <v>1</v>
      </c>
      <c r="AG193">
        <v>1</v>
      </c>
      <c r="AH193">
        <v>0</v>
      </c>
      <c r="AI193">
        <v>1</v>
      </c>
      <c r="AJ193">
        <v>0</v>
      </c>
      <c r="AK193">
        <v>1</v>
      </c>
      <c r="AL193">
        <v>0</v>
      </c>
      <c r="AM193">
        <v>1</v>
      </c>
      <c r="AN193">
        <v>1</v>
      </c>
      <c r="AO193">
        <v>1</v>
      </c>
      <c r="AP193">
        <v>1</v>
      </c>
      <c r="AQ193">
        <v>0</v>
      </c>
      <c r="AR193">
        <v>17</v>
      </c>
      <c r="AS193" t="s">
        <v>2586</v>
      </c>
    </row>
    <row r="194" spans="1:45" x14ac:dyDescent="0.25">
      <c r="A194">
        <v>48</v>
      </c>
      <c r="B194" t="str">
        <f>VLOOKUP(A194,'model groups'!$A$3:$C$86,2,FALSE)</f>
        <v>reef invertivores</v>
      </c>
      <c r="C194" t="s">
        <v>624</v>
      </c>
      <c r="D194" t="s">
        <v>625</v>
      </c>
      <c r="E194" t="s">
        <v>625</v>
      </c>
      <c r="G194" t="s">
        <v>195</v>
      </c>
      <c r="H194" t="s">
        <v>196</v>
      </c>
      <c r="I194" t="s">
        <v>449</v>
      </c>
      <c r="J194" t="s">
        <v>622</v>
      </c>
      <c r="K194" t="s">
        <v>626</v>
      </c>
      <c r="L194">
        <v>0.42425299999999999</v>
      </c>
      <c r="M194">
        <v>10.23911197</v>
      </c>
      <c r="N194">
        <v>36</v>
      </c>
      <c r="O194">
        <v>3.7033333329999998</v>
      </c>
      <c r="P194">
        <v>61.75</v>
      </c>
      <c r="Q194">
        <v>2.99803</v>
      </c>
      <c r="R194" t="s">
        <v>70</v>
      </c>
      <c r="S194" t="s">
        <v>77</v>
      </c>
      <c r="T194" t="str">
        <f>IF(OR(AK194=1,AN194=1),"reef","no")</f>
        <v>no</v>
      </c>
      <c r="U194" s="1">
        <v>4.124793873985317E-2</v>
      </c>
      <c r="V194" s="1">
        <v>0.3756812196543885</v>
      </c>
      <c r="W194" s="1">
        <v>3.3098344470079637E-2</v>
      </c>
      <c r="X194" s="1">
        <v>0</v>
      </c>
      <c r="Y194" s="1">
        <v>0</v>
      </c>
      <c r="Z194" s="1">
        <v>0</v>
      </c>
      <c r="AA194" s="1">
        <v>0.54997249713567875</v>
      </c>
      <c r="AB194" s="1">
        <v>0</v>
      </c>
      <c r="AC194">
        <v>1</v>
      </c>
      <c r="AD194">
        <v>0</v>
      </c>
      <c r="AE194">
        <v>1</v>
      </c>
      <c r="AF194">
        <v>1</v>
      </c>
      <c r="AG194">
        <v>1</v>
      </c>
      <c r="AH194">
        <v>0</v>
      </c>
      <c r="AI194">
        <v>0</v>
      </c>
      <c r="AJ194">
        <v>0</v>
      </c>
      <c r="AK194">
        <v>0</v>
      </c>
      <c r="AL194">
        <v>0</v>
      </c>
      <c r="AM194">
        <v>0</v>
      </c>
      <c r="AN194">
        <v>0</v>
      </c>
      <c r="AO194">
        <v>1</v>
      </c>
      <c r="AP194">
        <v>1</v>
      </c>
      <c r="AQ194">
        <v>0</v>
      </c>
      <c r="AR194">
        <v>17</v>
      </c>
      <c r="AS194" t="s">
        <v>2586</v>
      </c>
    </row>
    <row r="195" spans="1:45" x14ac:dyDescent="0.25">
      <c r="A195">
        <v>48</v>
      </c>
      <c r="B195" t="str">
        <f>VLOOKUP(A195,'model groups'!$A$3:$C$86,2,FALSE)</f>
        <v>reef invertivores</v>
      </c>
      <c r="C195" t="s">
        <v>624</v>
      </c>
      <c r="D195" t="s">
        <v>627</v>
      </c>
      <c r="E195" t="s">
        <v>627</v>
      </c>
      <c r="G195" t="s">
        <v>195</v>
      </c>
      <c r="H195" t="s">
        <v>196</v>
      </c>
      <c r="I195" t="s">
        <v>449</v>
      </c>
      <c r="J195" t="s">
        <v>622</v>
      </c>
      <c r="K195" t="s">
        <v>626</v>
      </c>
      <c r="L195">
        <v>0.42425299999999999</v>
      </c>
      <c r="M195">
        <v>10.23911197</v>
      </c>
      <c r="N195">
        <v>36</v>
      </c>
      <c r="O195">
        <v>3.7033333329999998</v>
      </c>
      <c r="P195">
        <v>61.75</v>
      </c>
      <c r="Q195">
        <v>2.99803</v>
      </c>
      <c r="R195" t="s">
        <v>70</v>
      </c>
      <c r="S195" t="s">
        <v>77</v>
      </c>
      <c r="T195" t="str">
        <f>IF(OR(AK195=1,AN195=1),"reef","no")</f>
        <v>reef</v>
      </c>
      <c r="U195" s="1">
        <v>4.124793873985317E-2</v>
      </c>
      <c r="V195" s="1">
        <v>0.3756812196543885</v>
      </c>
      <c r="W195" s="1">
        <v>3.3098344470079637E-2</v>
      </c>
      <c r="X195" s="1">
        <v>0</v>
      </c>
      <c r="Y195" s="1">
        <v>0</v>
      </c>
      <c r="Z195" s="1">
        <v>0</v>
      </c>
      <c r="AA195" s="1">
        <v>0.54997249713567875</v>
      </c>
      <c r="AB195" s="1">
        <v>0</v>
      </c>
      <c r="AC195">
        <v>1</v>
      </c>
      <c r="AD195">
        <v>0</v>
      </c>
      <c r="AE195">
        <v>1</v>
      </c>
      <c r="AF195">
        <v>1</v>
      </c>
      <c r="AG195">
        <v>0</v>
      </c>
      <c r="AH195">
        <v>0</v>
      </c>
      <c r="AI195">
        <v>0</v>
      </c>
      <c r="AJ195">
        <v>0</v>
      </c>
      <c r="AK195">
        <v>1</v>
      </c>
      <c r="AL195">
        <v>0</v>
      </c>
      <c r="AM195">
        <v>1</v>
      </c>
      <c r="AN195">
        <v>0</v>
      </c>
      <c r="AO195">
        <v>0</v>
      </c>
      <c r="AP195">
        <v>0</v>
      </c>
      <c r="AQ195">
        <v>0</v>
      </c>
      <c r="AR195">
        <v>17</v>
      </c>
      <c r="AS195" t="s">
        <v>2586</v>
      </c>
    </row>
    <row r="196" spans="1:45" x14ac:dyDescent="0.25">
      <c r="A196">
        <v>48</v>
      </c>
      <c r="B196" t="str">
        <f>VLOOKUP(A196,'model groups'!$A$3:$C$86,2,FALSE)</f>
        <v>reef invertivores</v>
      </c>
      <c r="D196" t="s">
        <v>628</v>
      </c>
      <c r="E196" t="s">
        <v>629</v>
      </c>
      <c r="G196" t="s">
        <v>195</v>
      </c>
      <c r="H196" t="s">
        <v>319</v>
      </c>
      <c r="I196" t="s">
        <v>449</v>
      </c>
      <c r="J196" t="s">
        <v>622</v>
      </c>
      <c r="T196" t="str">
        <f>IF(OR(AK196=1,AN196=1),"reef","no")</f>
        <v>reef</v>
      </c>
      <c r="U196" s="1"/>
      <c r="V196" s="1"/>
      <c r="W196" s="1"/>
      <c r="X196" s="1"/>
      <c r="Y196" s="1"/>
      <c r="Z196" s="1"/>
      <c r="AA196" s="1"/>
      <c r="AB196" s="1"/>
      <c r="AG196">
        <v>0</v>
      </c>
      <c r="AH196">
        <v>0</v>
      </c>
      <c r="AI196">
        <v>0</v>
      </c>
      <c r="AJ196">
        <v>0</v>
      </c>
      <c r="AK196">
        <v>1</v>
      </c>
      <c r="AL196">
        <v>0</v>
      </c>
      <c r="AM196">
        <v>0</v>
      </c>
      <c r="AN196">
        <v>0</v>
      </c>
      <c r="AO196">
        <v>0</v>
      </c>
      <c r="AP196">
        <v>0</v>
      </c>
      <c r="AQ196">
        <v>0</v>
      </c>
      <c r="AR196">
        <v>17</v>
      </c>
      <c r="AS196" t="s">
        <v>2586</v>
      </c>
    </row>
    <row r="197" spans="1:45" x14ac:dyDescent="0.25">
      <c r="A197">
        <v>48</v>
      </c>
      <c r="B197" t="str">
        <f>VLOOKUP(A197,'model groups'!$A$3:$C$86,2,FALSE)</f>
        <v>reef invertivores</v>
      </c>
      <c r="D197" t="s">
        <v>630</v>
      </c>
      <c r="E197" t="s">
        <v>630</v>
      </c>
      <c r="G197" t="s">
        <v>241</v>
      </c>
      <c r="H197" t="s">
        <v>319</v>
      </c>
      <c r="I197" t="s">
        <v>449</v>
      </c>
      <c r="J197" t="s">
        <v>622</v>
      </c>
      <c r="K197" t="s">
        <v>631</v>
      </c>
      <c r="AR197">
        <v>17</v>
      </c>
      <c r="AS197" t="s">
        <v>2586</v>
      </c>
    </row>
    <row r="198" spans="1:45" x14ac:dyDescent="0.25">
      <c r="A198">
        <v>48</v>
      </c>
      <c r="B198" t="str">
        <f>VLOOKUP(A198,'model groups'!$A$3:$C$86,2,FALSE)</f>
        <v>reef invertivores</v>
      </c>
      <c r="C198" t="s">
        <v>632</v>
      </c>
      <c r="D198" t="s">
        <v>633</v>
      </c>
      <c r="E198" t="s">
        <v>633</v>
      </c>
      <c r="G198" t="s">
        <v>241</v>
      </c>
      <c r="H198" t="s">
        <v>319</v>
      </c>
      <c r="I198" t="s">
        <v>449</v>
      </c>
      <c r="J198" t="s">
        <v>622</v>
      </c>
      <c r="AR198">
        <v>17</v>
      </c>
      <c r="AS198" t="s">
        <v>2586</v>
      </c>
    </row>
    <row r="199" spans="1:45" x14ac:dyDescent="0.25">
      <c r="A199">
        <v>48</v>
      </c>
      <c r="B199" t="str">
        <f>VLOOKUP(A199,'model groups'!$A$3:$C$86,2,FALSE)</f>
        <v>reef invertivores</v>
      </c>
      <c r="D199" t="s">
        <v>634</v>
      </c>
      <c r="E199" t="s">
        <v>634</v>
      </c>
      <c r="G199" t="s">
        <v>195</v>
      </c>
      <c r="H199" t="s">
        <v>196</v>
      </c>
      <c r="I199" t="s">
        <v>449</v>
      </c>
      <c r="T199" t="str">
        <f>IF(OR(AK199=1,AN199=1),"reef","no")</f>
        <v>no</v>
      </c>
      <c r="U199" s="1"/>
      <c r="V199" s="1"/>
      <c r="W199" s="1"/>
      <c r="X199" s="1"/>
      <c r="Y199" s="1"/>
      <c r="Z199" s="1"/>
      <c r="AA199" s="1"/>
      <c r="AB199" s="1"/>
      <c r="AG199">
        <v>0</v>
      </c>
      <c r="AH199">
        <v>0</v>
      </c>
      <c r="AI199">
        <v>0</v>
      </c>
      <c r="AJ199">
        <v>0</v>
      </c>
      <c r="AK199">
        <v>0</v>
      </c>
      <c r="AL199">
        <v>0</v>
      </c>
      <c r="AM199">
        <v>0</v>
      </c>
      <c r="AN199">
        <v>0</v>
      </c>
      <c r="AO199">
        <v>1</v>
      </c>
      <c r="AP199">
        <v>0</v>
      </c>
      <c r="AQ199">
        <v>1</v>
      </c>
      <c r="AR199">
        <v>17</v>
      </c>
      <c r="AS199" t="s">
        <v>2586</v>
      </c>
    </row>
    <row r="200" spans="1:45" x14ac:dyDescent="0.25">
      <c r="A200">
        <v>48</v>
      </c>
      <c r="B200" t="str">
        <f>VLOOKUP(A200,'model groups'!$A$3:$C$86,2,FALSE)</f>
        <v>reef invertivores</v>
      </c>
      <c r="C200" t="s">
        <v>635</v>
      </c>
      <c r="D200" t="s">
        <v>636</v>
      </c>
      <c r="E200" t="s">
        <v>636</v>
      </c>
      <c r="G200" t="s">
        <v>195</v>
      </c>
      <c r="H200" t="s">
        <v>196</v>
      </c>
      <c r="I200" t="s">
        <v>437</v>
      </c>
      <c r="J200" t="s">
        <v>637</v>
      </c>
      <c r="K200" t="s">
        <v>638</v>
      </c>
      <c r="L200">
        <v>0.95711921200000005</v>
      </c>
      <c r="M200">
        <v>6.9032013894999995</v>
      </c>
      <c r="N200">
        <v>29.902866830000001</v>
      </c>
      <c r="O200">
        <v>3.55</v>
      </c>
      <c r="P200">
        <v>33.47</v>
      </c>
      <c r="Q200">
        <v>1.4208000000000001</v>
      </c>
      <c r="R200" t="s">
        <v>70</v>
      </c>
      <c r="S200" t="s">
        <v>77</v>
      </c>
      <c r="T200" t="str">
        <f>IF(OR(AK200=1,AN200=1),"reef","no")</f>
        <v>reef</v>
      </c>
      <c r="U200" s="1">
        <v>0</v>
      </c>
      <c r="V200" s="1">
        <v>0.46800000779236001</v>
      </c>
      <c r="W200" s="1">
        <v>0</v>
      </c>
      <c r="X200" s="1">
        <v>0</v>
      </c>
      <c r="Y200" s="1">
        <v>0</v>
      </c>
      <c r="Z200" s="1">
        <v>0</v>
      </c>
      <c r="AA200" s="3">
        <v>0.53199999220764005</v>
      </c>
      <c r="AB200" s="1">
        <v>0</v>
      </c>
      <c r="AC200">
        <v>0</v>
      </c>
      <c r="AD200">
        <v>1</v>
      </c>
      <c r="AE200">
        <v>0</v>
      </c>
      <c r="AF200">
        <v>1</v>
      </c>
      <c r="AG200">
        <v>0</v>
      </c>
      <c r="AH200">
        <v>0</v>
      </c>
      <c r="AI200">
        <v>0</v>
      </c>
      <c r="AJ200">
        <v>0</v>
      </c>
      <c r="AK200">
        <v>0</v>
      </c>
      <c r="AL200">
        <v>0</v>
      </c>
      <c r="AM200">
        <v>0</v>
      </c>
      <c r="AN200">
        <v>1</v>
      </c>
      <c r="AO200">
        <v>0</v>
      </c>
      <c r="AP200">
        <v>0</v>
      </c>
      <c r="AQ200">
        <v>0</v>
      </c>
      <c r="AR200">
        <v>17</v>
      </c>
      <c r="AS200" t="s">
        <v>2586</v>
      </c>
    </row>
    <row r="201" spans="1:45" x14ac:dyDescent="0.25">
      <c r="A201">
        <v>48</v>
      </c>
      <c r="B201" t="str">
        <f>VLOOKUP(A201,'model groups'!$A$3:$C$86,2,FALSE)</f>
        <v>reef invertivores</v>
      </c>
      <c r="C201" t="s">
        <v>639</v>
      </c>
      <c r="D201" t="s">
        <v>640</v>
      </c>
      <c r="E201" t="s">
        <v>640</v>
      </c>
      <c r="G201" t="s">
        <v>195</v>
      </c>
      <c r="H201" t="s">
        <v>196</v>
      </c>
      <c r="I201" t="s">
        <v>437</v>
      </c>
      <c r="J201" t="s">
        <v>637</v>
      </c>
      <c r="K201" t="s">
        <v>641</v>
      </c>
      <c r="L201">
        <v>0.77201093399999998</v>
      </c>
      <c r="M201">
        <v>6.1776995484999997</v>
      </c>
      <c r="N201">
        <v>41.743344059999998</v>
      </c>
      <c r="O201">
        <v>3.49</v>
      </c>
      <c r="P201">
        <v>38.07</v>
      </c>
      <c r="Q201">
        <v>1.6154299999999999</v>
      </c>
      <c r="R201" t="s">
        <v>70</v>
      </c>
      <c r="S201" t="s">
        <v>77</v>
      </c>
      <c r="T201" t="str">
        <f>IF(OR(AK201=1,AN201=1),"reef","no")</f>
        <v>reef</v>
      </c>
      <c r="U201" s="1">
        <v>0</v>
      </c>
      <c r="V201" s="1">
        <v>0.46800000779236001</v>
      </c>
      <c r="W201" s="1">
        <v>0</v>
      </c>
      <c r="X201" s="1">
        <v>0</v>
      </c>
      <c r="Y201" s="1">
        <v>0</v>
      </c>
      <c r="Z201" s="1">
        <v>0</v>
      </c>
      <c r="AA201" s="3">
        <v>0.53199999220764005</v>
      </c>
      <c r="AB201" s="1">
        <v>0</v>
      </c>
      <c r="AC201">
        <v>0</v>
      </c>
      <c r="AD201">
        <v>1</v>
      </c>
      <c r="AE201">
        <v>0</v>
      </c>
      <c r="AF201">
        <v>1</v>
      </c>
      <c r="AG201">
        <v>0</v>
      </c>
      <c r="AH201">
        <v>0</v>
      </c>
      <c r="AI201">
        <v>0</v>
      </c>
      <c r="AJ201">
        <v>0</v>
      </c>
      <c r="AK201">
        <v>0</v>
      </c>
      <c r="AL201">
        <v>0</v>
      </c>
      <c r="AM201">
        <v>0</v>
      </c>
      <c r="AN201">
        <v>1</v>
      </c>
      <c r="AO201">
        <v>0</v>
      </c>
      <c r="AP201">
        <v>0</v>
      </c>
      <c r="AQ201">
        <v>0</v>
      </c>
      <c r="AR201">
        <v>17</v>
      </c>
      <c r="AS201" t="s">
        <v>2586</v>
      </c>
    </row>
    <row r="202" spans="1:45" x14ac:dyDescent="0.25">
      <c r="A202">
        <v>48</v>
      </c>
      <c r="B202" t="str">
        <f>VLOOKUP(A202,'model groups'!$A$3:$C$86,2,FALSE)</f>
        <v>reef invertivores</v>
      </c>
      <c r="D202" t="s">
        <v>642</v>
      </c>
      <c r="E202" t="s">
        <v>642</v>
      </c>
      <c r="G202" t="s">
        <v>241</v>
      </c>
      <c r="H202" t="s">
        <v>643</v>
      </c>
      <c r="I202" t="s">
        <v>437</v>
      </c>
      <c r="J202" t="s">
        <v>637</v>
      </c>
      <c r="K202" t="s">
        <v>379</v>
      </c>
      <c r="AR202">
        <v>17</v>
      </c>
      <c r="AS202" t="s">
        <v>2586</v>
      </c>
    </row>
    <row r="203" spans="1:45" x14ac:dyDescent="0.25">
      <c r="A203">
        <v>48</v>
      </c>
      <c r="B203" t="str">
        <f>VLOOKUP(A203,'model groups'!$A$3:$C$86,2,FALSE)</f>
        <v>reef invertivores</v>
      </c>
      <c r="C203" t="s">
        <v>644</v>
      </c>
      <c r="D203" t="s">
        <v>645</v>
      </c>
      <c r="E203" t="s">
        <v>645</v>
      </c>
      <c r="G203" t="s">
        <v>241</v>
      </c>
      <c r="H203" t="s">
        <v>643</v>
      </c>
      <c r="I203" t="s">
        <v>437</v>
      </c>
      <c r="J203" t="s">
        <v>637</v>
      </c>
      <c r="AR203">
        <v>17</v>
      </c>
      <c r="AS203" t="s">
        <v>2586</v>
      </c>
    </row>
    <row r="204" spans="1:45" x14ac:dyDescent="0.25">
      <c r="A204">
        <v>48</v>
      </c>
      <c r="B204" t="str">
        <f>VLOOKUP(A204,'model groups'!$A$3:$C$86,2,FALSE)</f>
        <v>reef invertivores</v>
      </c>
      <c r="C204" t="s">
        <v>646</v>
      </c>
      <c r="D204" t="s">
        <v>647</v>
      </c>
      <c r="E204" t="s">
        <v>647</v>
      </c>
      <c r="G204" t="s">
        <v>241</v>
      </c>
      <c r="H204" t="s">
        <v>643</v>
      </c>
      <c r="I204" t="s">
        <v>437</v>
      </c>
      <c r="J204" t="s">
        <v>648</v>
      </c>
      <c r="AR204">
        <v>17</v>
      </c>
      <c r="AS204" t="s">
        <v>2586</v>
      </c>
    </row>
    <row r="205" spans="1:45" x14ac:dyDescent="0.25">
      <c r="A205">
        <v>48</v>
      </c>
      <c r="B205" t="str">
        <f>VLOOKUP(A205,'model groups'!$A$3:$C$86,2,FALSE)</f>
        <v>reef invertivores</v>
      </c>
      <c r="C205" t="s">
        <v>649</v>
      </c>
      <c r="D205" t="s">
        <v>650</v>
      </c>
      <c r="E205" t="s">
        <v>650</v>
      </c>
      <c r="G205" t="s">
        <v>195</v>
      </c>
      <c r="H205" t="s">
        <v>196</v>
      </c>
      <c r="I205" t="s">
        <v>437</v>
      </c>
      <c r="J205" t="s">
        <v>651</v>
      </c>
      <c r="K205" t="s">
        <v>652</v>
      </c>
      <c r="L205">
        <v>1.0964968980000001</v>
      </c>
      <c r="M205">
        <v>8.5899535134999994</v>
      </c>
      <c r="N205">
        <v>24.21454782</v>
      </c>
      <c r="O205">
        <v>3.490238095</v>
      </c>
      <c r="P205">
        <v>30.69</v>
      </c>
      <c r="Q205">
        <v>1.46515</v>
      </c>
      <c r="R205" t="s">
        <v>70</v>
      </c>
      <c r="S205" t="s">
        <v>77</v>
      </c>
      <c r="T205" t="str">
        <f>IF(OR(AK205=1,AN205=1),"reef","no")</f>
        <v>reef</v>
      </c>
      <c r="U205" s="1">
        <v>2.0220201901041897E-2</v>
      </c>
      <c r="V205" s="1">
        <v>0.31311312913893513</v>
      </c>
      <c r="W205" s="1">
        <v>0</v>
      </c>
      <c r="X205" s="1">
        <v>0</v>
      </c>
      <c r="Y205" s="1">
        <v>0</v>
      </c>
      <c r="Z205" s="1">
        <v>0</v>
      </c>
      <c r="AA205" s="1">
        <v>0.6299063018054275</v>
      </c>
      <c r="AB205" s="1">
        <v>3.676036715459545E-2</v>
      </c>
      <c r="AC205">
        <v>0</v>
      </c>
      <c r="AD205">
        <v>1</v>
      </c>
      <c r="AE205">
        <v>1</v>
      </c>
      <c r="AF205">
        <v>1</v>
      </c>
      <c r="AG205">
        <v>0</v>
      </c>
      <c r="AH205">
        <v>0</v>
      </c>
      <c r="AI205">
        <v>0</v>
      </c>
      <c r="AJ205">
        <v>0</v>
      </c>
      <c r="AK205">
        <v>1</v>
      </c>
      <c r="AL205">
        <v>0</v>
      </c>
      <c r="AM205">
        <v>0</v>
      </c>
      <c r="AN205">
        <v>0</v>
      </c>
      <c r="AO205">
        <v>0</v>
      </c>
      <c r="AP205">
        <v>0</v>
      </c>
      <c r="AQ205">
        <v>0</v>
      </c>
      <c r="AR205">
        <v>17</v>
      </c>
      <c r="AS205" t="s">
        <v>2586</v>
      </c>
    </row>
    <row r="206" spans="1:45" x14ac:dyDescent="0.25">
      <c r="A206">
        <v>48</v>
      </c>
      <c r="B206" t="str">
        <f>VLOOKUP(A206,'model groups'!$A$3:$C$86,2,FALSE)</f>
        <v>reef invertivores</v>
      </c>
      <c r="C206" t="s">
        <v>653</v>
      </c>
      <c r="D206" t="s">
        <v>654</v>
      </c>
      <c r="E206" t="s">
        <v>654</v>
      </c>
      <c r="G206" t="s">
        <v>195</v>
      </c>
      <c r="H206" t="s">
        <v>196</v>
      </c>
      <c r="I206" t="s">
        <v>437</v>
      </c>
      <c r="J206" t="s">
        <v>651</v>
      </c>
      <c r="K206" t="s">
        <v>655</v>
      </c>
      <c r="L206">
        <v>0.84022107700000004</v>
      </c>
      <c r="M206">
        <v>6.4146283825000001</v>
      </c>
      <c r="N206">
        <v>36.603057360000001</v>
      </c>
      <c r="O206">
        <v>3.5333333329999999</v>
      </c>
      <c r="P206">
        <v>36.26</v>
      </c>
      <c r="Q206">
        <v>1.0997399999999999</v>
      </c>
      <c r="R206" t="s">
        <v>70</v>
      </c>
      <c r="S206" t="s">
        <v>77</v>
      </c>
      <c r="T206" t="str">
        <f>IF(OR(AK206=1,AN206=1),"reef","no")</f>
        <v>reef</v>
      </c>
      <c r="U206" s="1">
        <v>1.6702504894624527E-2</v>
      </c>
      <c r="V206" s="1">
        <v>0.19957993467948731</v>
      </c>
      <c r="W206" s="1">
        <v>0</v>
      </c>
      <c r="X206" s="1">
        <v>0</v>
      </c>
      <c r="Y206" s="1">
        <v>0</v>
      </c>
      <c r="Z206" s="1">
        <v>0</v>
      </c>
      <c r="AA206" s="3">
        <v>0.70440566560435935</v>
      </c>
      <c r="AB206" s="1">
        <v>7.9311894821528825E-2</v>
      </c>
      <c r="AC206">
        <v>0</v>
      </c>
      <c r="AD206">
        <v>1</v>
      </c>
      <c r="AE206">
        <v>1</v>
      </c>
      <c r="AF206">
        <v>1</v>
      </c>
      <c r="AG206">
        <v>0</v>
      </c>
      <c r="AH206">
        <v>0</v>
      </c>
      <c r="AI206">
        <v>0</v>
      </c>
      <c r="AJ206">
        <v>0</v>
      </c>
      <c r="AK206">
        <v>1</v>
      </c>
      <c r="AL206">
        <v>0</v>
      </c>
      <c r="AM206">
        <v>1</v>
      </c>
      <c r="AN206">
        <v>1</v>
      </c>
      <c r="AO206">
        <v>0</v>
      </c>
      <c r="AP206">
        <v>0</v>
      </c>
      <c r="AQ206">
        <v>0</v>
      </c>
      <c r="AR206">
        <v>17</v>
      </c>
      <c r="AS206" t="s">
        <v>2586</v>
      </c>
    </row>
    <row r="207" spans="1:45" x14ac:dyDescent="0.25">
      <c r="A207">
        <v>48</v>
      </c>
      <c r="B207" t="str">
        <f>VLOOKUP(A207,'model groups'!$A$3:$C$86,2,FALSE)</f>
        <v>reef invertivores</v>
      </c>
      <c r="D207" t="s">
        <v>656</v>
      </c>
      <c r="E207" t="s">
        <v>657</v>
      </c>
      <c r="G207" t="s">
        <v>195</v>
      </c>
      <c r="H207" t="s">
        <v>643</v>
      </c>
      <c r="I207" t="s">
        <v>437</v>
      </c>
      <c r="J207" t="s">
        <v>651</v>
      </c>
      <c r="T207" t="str">
        <f>IF(OR(AK207=1,AN207=1),"reef","no")</f>
        <v>reef</v>
      </c>
      <c r="U207" s="1"/>
      <c r="V207" s="1"/>
      <c r="W207" s="1"/>
      <c r="X207" s="1"/>
      <c r="Y207" s="1"/>
      <c r="Z207" s="1"/>
      <c r="AA207" s="1"/>
      <c r="AB207" s="1"/>
      <c r="AG207">
        <v>0</v>
      </c>
      <c r="AH207">
        <v>0</v>
      </c>
      <c r="AI207">
        <v>0</v>
      </c>
      <c r="AJ207">
        <v>0</v>
      </c>
      <c r="AK207">
        <v>1</v>
      </c>
      <c r="AL207">
        <v>0</v>
      </c>
      <c r="AM207">
        <v>0</v>
      </c>
      <c r="AN207">
        <v>0</v>
      </c>
      <c r="AO207">
        <v>0</v>
      </c>
      <c r="AP207">
        <v>0</v>
      </c>
      <c r="AQ207">
        <v>0</v>
      </c>
      <c r="AR207">
        <v>17</v>
      </c>
      <c r="AS207" t="s">
        <v>2586</v>
      </c>
    </row>
    <row r="208" spans="1:45" x14ac:dyDescent="0.25">
      <c r="A208">
        <v>48</v>
      </c>
      <c r="B208" t="str">
        <f>VLOOKUP(A208,'model groups'!$A$3:$C$86,2,FALSE)</f>
        <v>reef invertivores</v>
      </c>
      <c r="C208" t="s">
        <v>658</v>
      </c>
      <c r="D208" t="s">
        <v>659</v>
      </c>
      <c r="E208" t="s">
        <v>659</v>
      </c>
      <c r="G208" t="s">
        <v>241</v>
      </c>
      <c r="H208" t="s">
        <v>643</v>
      </c>
      <c r="I208" t="s">
        <v>437</v>
      </c>
      <c r="J208" t="s">
        <v>651</v>
      </c>
      <c r="AR208">
        <v>17</v>
      </c>
      <c r="AS208" t="s">
        <v>2586</v>
      </c>
    </row>
    <row r="209" spans="1:45" x14ac:dyDescent="0.25">
      <c r="A209">
        <v>48</v>
      </c>
      <c r="B209" t="str">
        <f>VLOOKUP(A209,'model groups'!$A$3:$C$86,2,FALSE)</f>
        <v>reef invertivores</v>
      </c>
      <c r="C209" t="s">
        <v>660</v>
      </c>
      <c r="D209" t="s">
        <v>661</v>
      </c>
      <c r="E209" t="s">
        <v>661</v>
      </c>
      <c r="G209" t="s">
        <v>241</v>
      </c>
      <c r="H209" t="s">
        <v>643</v>
      </c>
      <c r="I209" t="s">
        <v>437</v>
      </c>
      <c r="J209" t="s">
        <v>651</v>
      </c>
      <c r="AR209">
        <v>17</v>
      </c>
      <c r="AS209" t="s">
        <v>2586</v>
      </c>
    </row>
    <row r="210" spans="1:45" x14ac:dyDescent="0.25">
      <c r="A210">
        <v>48</v>
      </c>
      <c r="B210" t="str">
        <f>VLOOKUP(A210,'model groups'!$A$3:$C$86,2,FALSE)</f>
        <v>reef invertivores</v>
      </c>
      <c r="C210" t="s">
        <v>662</v>
      </c>
      <c r="D210" t="s">
        <v>663</v>
      </c>
      <c r="E210" t="s">
        <v>663</v>
      </c>
      <c r="G210" t="s">
        <v>195</v>
      </c>
      <c r="H210" t="s">
        <v>196</v>
      </c>
      <c r="I210" t="s">
        <v>437</v>
      </c>
      <c r="J210" t="s">
        <v>664</v>
      </c>
      <c r="K210" t="s">
        <v>665</v>
      </c>
      <c r="L210">
        <v>0.80830035</v>
      </c>
      <c r="M210">
        <v>7.3079945780000006</v>
      </c>
      <c r="N210">
        <v>39.688532180000003</v>
      </c>
      <c r="O210">
        <v>3.4449999999999998</v>
      </c>
      <c r="P210">
        <v>36.270000000000003</v>
      </c>
      <c r="Q210">
        <v>1.3704799999999999</v>
      </c>
      <c r="R210" t="s">
        <v>70</v>
      </c>
      <c r="S210" t="s">
        <v>77</v>
      </c>
      <c r="T210" t="str">
        <f>IF(OR(AK210=1,AN210=1),"reef","no")</f>
        <v>reef</v>
      </c>
      <c r="U210" s="1">
        <v>7.5000000261749994E-3</v>
      </c>
      <c r="V210" s="1">
        <v>0.102500000457725</v>
      </c>
      <c r="W210" s="1">
        <v>3.1500001059935001E-2</v>
      </c>
      <c r="X210" s="1">
        <v>0</v>
      </c>
      <c r="Y210" s="1">
        <v>0</v>
      </c>
      <c r="Z210" s="1">
        <v>0</v>
      </c>
      <c r="AA210" s="1">
        <v>0.84199999863857988</v>
      </c>
      <c r="AB210" s="1">
        <v>1.6499999817584998E-2</v>
      </c>
      <c r="AC210">
        <v>1</v>
      </c>
      <c r="AD210">
        <v>0</v>
      </c>
      <c r="AE210">
        <v>1</v>
      </c>
      <c r="AF210">
        <v>1</v>
      </c>
      <c r="AG210">
        <v>0</v>
      </c>
      <c r="AH210">
        <v>0</v>
      </c>
      <c r="AI210">
        <v>0</v>
      </c>
      <c r="AJ210">
        <v>0</v>
      </c>
      <c r="AK210">
        <v>1</v>
      </c>
      <c r="AL210">
        <v>0</v>
      </c>
      <c r="AM210">
        <v>1</v>
      </c>
      <c r="AN210">
        <v>0</v>
      </c>
      <c r="AO210">
        <v>0</v>
      </c>
      <c r="AP210">
        <v>0</v>
      </c>
      <c r="AQ210">
        <v>0</v>
      </c>
      <c r="AR210">
        <v>17</v>
      </c>
      <c r="AS210" t="s">
        <v>2586</v>
      </c>
    </row>
    <row r="211" spans="1:45" x14ac:dyDescent="0.25">
      <c r="A211">
        <v>48</v>
      </c>
      <c r="B211" t="str">
        <f>VLOOKUP(A211,'model groups'!$A$3:$C$86,2,FALSE)</f>
        <v>reef invertivores</v>
      </c>
      <c r="D211" t="s">
        <v>666</v>
      </c>
      <c r="E211" t="s">
        <v>667</v>
      </c>
      <c r="G211" t="s">
        <v>195</v>
      </c>
      <c r="H211" t="s">
        <v>643</v>
      </c>
      <c r="I211" t="s">
        <v>437</v>
      </c>
      <c r="J211" t="s">
        <v>664</v>
      </c>
      <c r="T211" t="str">
        <f>IF(OR(AK211=1,AN211=1),"reef","no")</f>
        <v>reef</v>
      </c>
      <c r="U211" s="1"/>
      <c r="V211" s="1"/>
      <c r="W211" s="1"/>
      <c r="X211" s="1"/>
      <c r="Y211" s="1"/>
      <c r="Z211" s="1"/>
      <c r="AA211" s="1"/>
      <c r="AB211" s="1"/>
      <c r="AG211">
        <v>0</v>
      </c>
      <c r="AH211">
        <v>0</v>
      </c>
      <c r="AI211">
        <v>0</v>
      </c>
      <c r="AJ211">
        <v>0</v>
      </c>
      <c r="AK211">
        <v>1</v>
      </c>
      <c r="AL211">
        <v>0</v>
      </c>
      <c r="AM211">
        <v>0</v>
      </c>
      <c r="AN211">
        <v>0</v>
      </c>
      <c r="AO211">
        <v>0</v>
      </c>
      <c r="AP211">
        <v>0</v>
      </c>
      <c r="AQ211">
        <v>0</v>
      </c>
      <c r="AR211">
        <v>17</v>
      </c>
      <c r="AS211" t="s">
        <v>2586</v>
      </c>
    </row>
    <row r="212" spans="1:45" x14ac:dyDescent="0.25">
      <c r="A212">
        <v>48</v>
      </c>
      <c r="B212" t="str">
        <f>VLOOKUP(A212,'model groups'!$A$3:$C$86,2,FALSE)</f>
        <v>reef invertivores</v>
      </c>
      <c r="D212" t="s">
        <v>668</v>
      </c>
      <c r="E212" t="s">
        <v>668</v>
      </c>
      <c r="G212" t="s">
        <v>195</v>
      </c>
      <c r="H212" t="s">
        <v>643</v>
      </c>
      <c r="I212" t="s">
        <v>437</v>
      </c>
      <c r="T212" t="str">
        <f>IF(OR(AK212=1,AN212=1),"reef","no")</f>
        <v>reef</v>
      </c>
      <c r="U212" s="1"/>
      <c r="V212" s="1"/>
      <c r="W212" s="1"/>
      <c r="X212" s="1"/>
      <c r="Y212" s="1"/>
      <c r="Z212" s="1"/>
      <c r="AA212" s="1"/>
      <c r="AB212" s="1"/>
      <c r="AG212">
        <v>0</v>
      </c>
      <c r="AH212">
        <v>0</v>
      </c>
      <c r="AI212">
        <v>0</v>
      </c>
      <c r="AJ212">
        <v>0</v>
      </c>
      <c r="AK212">
        <v>0</v>
      </c>
      <c r="AL212">
        <v>0</v>
      </c>
      <c r="AM212">
        <v>0</v>
      </c>
      <c r="AN212">
        <v>1</v>
      </c>
      <c r="AO212">
        <v>0</v>
      </c>
      <c r="AP212">
        <v>0</v>
      </c>
      <c r="AQ212">
        <v>0</v>
      </c>
      <c r="AR212">
        <v>17</v>
      </c>
      <c r="AS212" t="s">
        <v>2586</v>
      </c>
    </row>
    <row r="213" spans="1:45" x14ac:dyDescent="0.25">
      <c r="A213">
        <v>48</v>
      </c>
      <c r="B213" t="str">
        <f>VLOOKUP(A213,'model groups'!$A$3:$C$86,2,FALSE)</f>
        <v>reef invertivores</v>
      </c>
      <c r="D213" t="s">
        <v>669</v>
      </c>
      <c r="E213" t="s">
        <v>670</v>
      </c>
      <c r="G213" t="s">
        <v>195</v>
      </c>
      <c r="H213" t="s">
        <v>643</v>
      </c>
      <c r="I213" t="s">
        <v>437</v>
      </c>
      <c r="T213" t="str">
        <f>IF(OR(AK213=1,AN213=1),"reef","no")</f>
        <v>reef</v>
      </c>
      <c r="U213" s="1"/>
      <c r="V213" s="1"/>
      <c r="W213" s="1"/>
      <c r="X213" s="1"/>
      <c r="Y213" s="1"/>
      <c r="Z213" s="1"/>
      <c r="AA213" s="1"/>
      <c r="AB213" s="1"/>
      <c r="AG213">
        <v>0</v>
      </c>
      <c r="AH213">
        <v>0</v>
      </c>
      <c r="AI213">
        <v>0</v>
      </c>
      <c r="AJ213">
        <v>0</v>
      </c>
      <c r="AK213">
        <v>1</v>
      </c>
      <c r="AL213">
        <v>0</v>
      </c>
      <c r="AM213">
        <v>0</v>
      </c>
      <c r="AN213">
        <v>0</v>
      </c>
      <c r="AO213">
        <v>0</v>
      </c>
      <c r="AP213">
        <v>0</v>
      </c>
      <c r="AQ213">
        <v>0</v>
      </c>
      <c r="AR213">
        <v>17</v>
      </c>
      <c r="AS213" t="s">
        <v>2586</v>
      </c>
    </row>
    <row r="214" spans="1:45" x14ac:dyDescent="0.25">
      <c r="A214">
        <v>48</v>
      </c>
      <c r="B214" t="str">
        <f>VLOOKUP(A214,'model groups'!$A$3:$C$86,2,FALSE)</f>
        <v>reef invertivores</v>
      </c>
      <c r="D214" t="s">
        <v>671</v>
      </c>
      <c r="E214" t="s">
        <v>672</v>
      </c>
      <c r="G214" t="s">
        <v>195</v>
      </c>
      <c r="H214" t="s">
        <v>643</v>
      </c>
      <c r="I214" t="s">
        <v>437</v>
      </c>
      <c r="T214" t="str">
        <f>IF(OR(AK214=1,AN214=1),"reef","no")</f>
        <v>reef</v>
      </c>
      <c r="U214" s="1"/>
      <c r="V214" s="1"/>
      <c r="W214" s="1"/>
      <c r="X214" s="1"/>
      <c r="Y214" s="1"/>
      <c r="Z214" s="1"/>
      <c r="AA214" s="1"/>
      <c r="AB214" s="1"/>
      <c r="AG214">
        <v>0</v>
      </c>
      <c r="AH214">
        <v>0</v>
      </c>
      <c r="AI214">
        <v>0</v>
      </c>
      <c r="AJ214">
        <v>0</v>
      </c>
      <c r="AK214">
        <v>1</v>
      </c>
      <c r="AL214">
        <v>0</v>
      </c>
      <c r="AM214">
        <v>0</v>
      </c>
      <c r="AN214">
        <v>0</v>
      </c>
      <c r="AO214">
        <v>0</v>
      </c>
      <c r="AP214">
        <v>0</v>
      </c>
      <c r="AQ214">
        <v>0</v>
      </c>
      <c r="AR214">
        <v>17</v>
      </c>
      <c r="AS214" t="s">
        <v>2586</v>
      </c>
    </row>
    <row r="215" spans="1:45" x14ac:dyDescent="0.25">
      <c r="A215">
        <v>48</v>
      </c>
      <c r="B215" t="str">
        <f>VLOOKUP(A215,'model groups'!$A$3:$C$86,2,FALSE)</f>
        <v>reef invertivores</v>
      </c>
      <c r="D215" t="s">
        <v>673</v>
      </c>
      <c r="E215" t="s">
        <v>673</v>
      </c>
      <c r="G215" t="s">
        <v>241</v>
      </c>
      <c r="H215" t="s">
        <v>466</v>
      </c>
      <c r="I215" t="s">
        <v>458</v>
      </c>
      <c r="J215" t="s">
        <v>674</v>
      </c>
      <c r="K215" t="s">
        <v>675</v>
      </c>
      <c r="AR215">
        <v>17</v>
      </c>
      <c r="AS215" t="s">
        <v>2586</v>
      </c>
    </row>
    <row r="216" spans="1:45" x14ac:dyDescent="0.25">
      <c r="A216">
        <v>48</v>
      </c>
      <c r="B216" t="str">
        <f>VLOOKUP(A216,'model groups'!$A$3:$C$86,2,FALSE)</f>
        <v>reef invertivores</v>
      </c>
      <c r="C216" t="s">
        <v>676</v>
      </c>
      <c r="D216" t="s">
        <v>677</v>
      </c>
      <c r="E216" t="s">
        <v>677</v>
      </c>
      <c r="G216" t="s">
        <v>195</v>
      </c>
      <c r="H216" t="s">
        <v>196</v>
      </c>
      <c r="I216" t="s">
        <v>678</v>
      </c>
      <c r="J216" t="s">
        <v>679</v>
      </c>
      <c r="K216" t="s">
        <v>680</v>
      </c>
      <c r="L216">
        <v>0.71645663100000001</v>
      </c>
      <c r="M216">
        <v>5.3418479254999998</v>
      </c>
      <c r="N216">
        <v>46.873397650000001</v>
      </c>
      <c r="O216">
        <v>3.1150000000000002</v>
      </c>
      <c r="P216">
        <v>43.84</v>
      </c>
      <c r="Q216">
        <v>1.1906600000000001</v>
      </c>
      <c r="R216" t="s">
        <v>70</v>
      </c>
      <c r="S216" t="s">
        <v>77</v>
      </c>
      <c r="T216" t="str">
        <f>IF(OR(AK216=1,AN216=1),"reef","no")</f>
        <v>reef</v>
      </c>
      <c r="U216" s="1">
        <v>0</v>
      </c>
      <c r="V216" s="1">
        <v>0</v>
      </c>
      <c r="W216" s="1">
        <v>0</v>
      </c>
      <c r="X216" s="1">
        <v>2.430729364735203E-2</v>
      </c>
      <c r="Y216" s="1">
        <v>0</v>
      </c>
      <c r="Z216" s="1">
        <v>9.1027313749781798E-3</v>
      </c>
      <c r="AA216" s="3">
        <v>0.96658997497766974</v>
      </c>
      <c r="AB216" s="1">
        <v>0</v>
      </c>
      <c r="AC216">
        <v>0</v>
      </c>
      <c r="AD216">
        <v>1</v>
      </c>
      <c r="AE216">
        <v>0</v>
      </c>
      <c r="AF216">
        <v>1</v>
      </c>
      <c r="AG216">
        <v>1</v>
      </c>
      <c r="AH216">
        <v>0</v>
      </c>
      <c r="AI216">
        <v>0</v>
      </c>
      <c r="AJ216">
        <v>0</v>
      </c>
      <c r="AK216">
        <v>1</v>
      </c>
      <c r="AL216">
        <v>0</v>
      </c>
      <c r="AM216">
        <v>1</v>
      </c>
      <c r="AN216">
        <v>1</v>
      </c>
      <c r="AO216">
        <v>0</v>
      </c>
      <c r="AP216">
        <v>0</v>
      </c>
      <c r="AQ216">
        <v>0</v>
      </c>
      <c r="AR216">
        <v>17</v>
      </c>
      <c r="AS216" t="s">
        <v>2586</v>
      </c>
    </row>
    <row r="217" spans="1:45" x14ac:dyDescent="0.25">
      <c r="A217">
        <v>48</v>
      </c>
      <c r="B217" t="str">
        <f>VLOOKUP(A217,'model groups'!$A$3:$C$86,2,FALSE)</f>
        <v>reef invertivores</v>
      </c>
      <c r="C217" t="s">
        <v>681</v>
      </c>
      <c r="D217" t="s">
        <v>682</v>
      </c>
      <c r="E217" t="s">
        <v>682</v>
      </c>
      <c r="G217" t="s">
        <v>195</v>
      </c>
      <c r="H217" t="s">
        <v>196</v>
      </c>
      <c r="I217" t="s">
        <v>678</v>
      </c>
      <c r="J217" t="s">
        <v>679</v>
      </c>
      <c r="K217" t="s">
        <v>683</v>
      </c>
      <c r="L217">
        <v>0.71645663100000001</v>
      </c>
      <c r="M217">
        <v>4.5700640979999996</v>
      </c>
      <c r="N217">
        <v>46.873397650000001</v>
      </c>
      <c r="O217">
        <v>3.0333333329999999</v>
      </c>
      <c r="P217">
        <v>43.84</v>
      </c>
      <c r="Q217">
        <v>0.80296199999999995</v>
      </c>
      <c r="R217" t="s">
        <v>70</v>
      </c>
      <c r="S217" t="s">
        <v>77</v>
      </c>
      <c r="T217" t="str">
        <f>IF(OR(AK217=1,AN217=1),"reef","no")</f>
        <v>reef</v>
      </c>
      <c r="U217" s="1">
        <v>0</v>
      </c>
      <c r="V217" s="1">
        <v>0</v>
      </c>
      <c r="W217" s="1">
        <v>0</v>
      </c>
      <c r="X217" s="1">
        <v>1.3999999421200013E-2</v>
      </c>
      <c r="Y217" s="1">
        <v>0</v>
      </c>
      <c r="Z217" s="1">
        <v>2.9999999374000015E-3</v>
      </c>
      <c r="AA217" s="3">
        <v>0.98300000064139992</v>
      </c>
      <c r="AB217" s="1">
        <v>0</v>
      </c>
      <c r="AC217">
        <v>0</v>
      </c>
      <c r="AD217">
        <v>0</v>
      </c>
      <c r="AE217">
        <v>0</v>
      </c>
      <c r="AF217">
        <v>1</v>
      </c>
      <c r="AG217">
        <v>0</v>
      </c>
      <c r="AH217">
        <v>0</v>
      </c>
      <c r="AI217">
        <v>0</v>
      </c>
      <c r="AJ217">
        <v>0</v>
      </c>
      <c r="AK217">
        <v>0</v>
      </c>
      <c r="AL217">
        <v>0</v>
      </c>
      <c r="AM217">
        <v>0</v>
      </c>
      <c r="AN217">
        <v>1</v>
      </c>
      <c r="AO217">
        <v>0</v>
      </c>
      <c r="AP217">
        <v>0</v>
      </c>
      <c r="AQ217">
        <v>0</v>
      </c>
      <c r="AR217">
        <v>17</v>
      </c>
      <c r="AS217" t="s">
        <v>2586</v>
      </c>
    </row>
    <row r="218" spans="1:45" x14ac:dyDescent="0.25">
      <c r="A218">
        <v>48</v>
      </c>
      <c r="B218" t="str">
        <f>VLOOKUP(A218,'model groups'!$A$3:$C$86,2,FALSE)</f>
        <v>reef invertivores</v>
      </c>
      <c r="C218" t="s">
        <v>684</v>
      </c>
      <c r="D218" t="s">
        <v>685</v>
      </c>
      <c r="E218" t="s">
        <v>685</v>
      </c>
      <c r="G218" t="s">
        <v>195</v>
      </c>
      <c r="H218" t="s">
        <v>196</v>
      </c>
      <c r="I218" t="s">
        <v>678</v>
      </c>
      <c r="J218" t="s">
        <v>679</v>
      </c>
      <c r="K218" t="s">
        <v>686</v>
      </c>
      <c r="L218">
        <v>0.84022107700000004</v>
      </c>
      <c r="M218">
        <v>5.5133975819999996</v>
      </c>
      <c r="N218">
        <v>36.603057360000001</v>
      </c>
      <c r="O218">
        <v>3.0249999999999999</v>
      </c>
      <c r="P218">
        <v>34.97</v>
      </c>
      <c r="Q218">
        <v>1.1003799999999999</v>
      </c>
      <c r="R218" t="s">
        <v>70</v>
      </c>
      <c r="S218" t="s">
        <v>77</v>
      </c>
      <c r="T218" t="str">
        <f>IF(OR(AK218=1,AN218=1),"reef","no")</f>
        <v>reef</v>
      </c>
      <c r="U218" s="1">
        <v>0</v>
      </c>
      <c r="V218" s="1">
        <v>0</v>
      </c>
      <c r="W218" s="1">
        <v>0</v>
      </c>
      <c r="X218" s="1">
        <v>8.0936455733535417E-3</v>
      </c>
      <c r="Y218" s="1">
        <v>0</v>
      </c>
      <c r="Z218" s="1">
        <v>7.3578592491113067E-3</v>
      </c>
      <c r="AA218" s="3">
        <v>0.98454849517753518</v>
      </c>
      <c r="AB218" s="1">
        <v>0</v>
      </c>
      <c r="AC218">
        <v>0</v>
      </c>
      <c r="AD218">
        <v>1</v>
      </c>
      <c r="AE218">
        <v>0</v>
      </c>
      <c r="AF218">
        <v>1</v>
      </c>
      <c r="AG218">
        <v>0</v>
      </c>
      <c r="AH218">
        <v>0</v>
      </c>
      <c r="AI218">
        <v>0</v>
      </c>
      <c r="AJ218">
        <v>0</v>
      </c>
      <c r="AK218">
        <v>0</v>
      </c>
      <c r="AL218">
        <v>0</v>
      </c>
      <c r="AM218">
        <v>0</v>
      </c>
      <c r="AN218">
        <v>1</v>
      </c>
      <c r="AO218">
        <v>0</v>
      </c>
      <c r="AP218">
        <v>0</v>
      </c>
      <c r="AQ218">
        <v>0</v>
      </c>
      <c r="AR218">
        <v>17</v>
      </c>
      <c r="AS218" t="s">
        <v>2586</v>
      </c>
    </row>
    <row r="219" spans="1:45" x14ac:dyDescent="0.25">
      <c r="A219">
        <v>48</v>
      </c>
      <c r="B219" t="str">
        <f>VLOOKUP(A219,'model groups'!$A$3:$C$86,2,FALSE)</f>
        <v>reef invertivores</v>
      </c>
      <c r="D219" t="s">
        <v>687</v>
      </c>
      <c r="E219" t="s">
        <v>688</v>
      </c>
      <c r="G219" t="s">
        <v>195</v>
      </c>
      <c r="I219" t="s">
        <v>678</v>
      </c>
      <c r="J219" t="s">
        <v>679</v>
      </c>
      <c r="T219" t="str">
        <f>IF(OR(AK219=1,AN219=1),"reef","no")</f>
        <v>reef</v>
      </c>
      <c r="U219" s="1"/>
      <c r="V219" s="1"/>
      <c r="W219" s="1"/>
      <c r="X219" s="1"/>
      <c r="Y219" s="1"/>
      <c r="Z219" s="1"/>
      <c r="AA219" s="1"/>
      <c r="AB219" s="1"/>
      <c r="AG219">
        <v>0</v>
      </c>
      <c r="AH219">
        <v>0</v>
      </c>
      <c r="AI219">
        <v>0</v>
      </c>
      <c r="AJ219">
        <v>0</v>
      </c>
      <c r="AK219">
        <v>1</v>
      </c>
      <c r="AL219">
        <v>0</v>
      </c>
      <c r="AM219">
        <v>0</v>
      </c>
      <c r="AN219">
        <v>0</v>
      </c>
      <c r="AO219">
        <v>0</v>
      </c>
      <c r="AP219">
        <v>0</v>
      </c>
      <c r="AQ219">
        <v>0</v>
      </c>
      <c r="AR219">
        <v>17</v>
      </c>
      <c r="AS219" t="s">
        <v>2586</v>
      </c>
    </row>
    <row r="220" spans="1:45" x14ac:dyDescent="0.25">
      <c r="A220">
        <v>48</v>
      </c>
      <c r="B220" t="str">
        <f>VLOOKUP(A220,'model groups'!$A$3:$C$86,2,FALSE)</f>
        <v>reef invertivores</v>
      </c>
      <c r="C220" t="s">
        <v>689</v>
      </c>
      <c r="D220" t="s">
        <v>690</v>
      </c>
      <c r="E220" t="s">
        <v>690</v>
      </c>
      <c r="G220" t="s">
        <v>195</v>
      </c>
      <c r="H220" t="s">
        <v>196</v>
      </c>
      <c r="I220" t="s">
        <v>678</v>
      </c>
      <c r="J220" t="s">
        <v>691</v>
      </c>
      <c r="K220" t="s">
        <v>692</v>
      </c>
      <c r="L220">
        <v>0.59699651600000003</v>
      </c>
      <c r="M220">
        <v>6.5236631025000005</v>
      </c>
      <c r="N220">
        <v>62.212642070000001</v>
      </c>
      <c r="O220">
        <v>3.0666666669999998</v>
      </c>
      <c r="P220">
        <v>51.36</v>
      </c>
      <c r="Q220">
        <v>2.0631300000000001</v>
      </c>
      <c r="R220" t="s">
        <v>70</v>
      </c>
      <c r="S220" t="s">
        <v>77</v>
      </c>
      <c r="T220" t="str">
        <f>IF(OR(AK220=1,AN220=1),"reef","no")</f>
        <v>reef</v>
      </c>
      <c r="U220" s="1">
        <v>0</v>
      </c>
      <c r="V220" s="1">
        <v>3.3333334378000013E-4</v>
      </c>
      <c r="W220" s="1">
        <v>1.6333333435220001E-2</v>
      </c>
      <c r="X220" s="1">
        <v>0.18463333089374198</v>
      </c>
      <c r="Y220" s="1">
        <v>0</v>
      </c>
      <c r="Z220" s="1">
        <v>2.5166667285390007E-2</v>
      </c>
      <c r="AA220" s="3">
        <v>0.72653333323888802</v>
      </c>
      <c r="AB220" s="1">
        <v>4.7000001802980022E-2</v>
      </c>
      <c r="AC220">
        <v>0</v>
      </c>
      <c r="AD220">
        <v>0</v>
      </c>
      <c r="AE220">
        <v>0</v>
      </c>
      <c r="AF220">
        <v>1</v>
      </c>
      <c r="AG220">
        <v>1</v>
      </c>
      <c r="AH220">
        <v>0</v>
      </c>
      <c r="AI220">
        <v>0</v>
      </c>
      <c r="AJ220">
        <v>0</v>
      </c>
      <c r="AK220">
        <v>1</v>
      </c>
      <c r="AL220">
        <v>0</v>
      </c>
      <c r="AM220">
        <v>1</v>
      </c>
      <c r="AN220">
        <v>1</v>
      </c>
      <c r="AO220">
        <v>0</v>
      </c>
      <c r="AP220">
        <v>0</v>
      </c>
      <c r="AQ220">
        <v>0</v>
      </c>
      <c r="AR220">
        <v>17</v>
      </c>
      <c r="AS220" t="s">
        <v>2586</v>
      </c>
    </row>
    <row r="221" spans="1:45" x14ac:dyDescent="0.25">
      <c r="A221">
        <v>48</v>
      </c>
      <c r="B221" t="str">
        <f>VLOOKUP(A221,'model groups'!$A$3:$C$86,2,FALSE)</f>
        <v>reef invertivores</v>
      </c>
      <c r="C221" t="s">
        <v>693</v>
      </c>
      <c r="D221" t="s">
        <v>694</v>
      </c>
      <c r="E221" t="s">
        <v>694</v>
      </c>
      <c r="G221" t="s">
        <v>241</v>
      </c>
      <c r="H221" t="s">
        <v>379</v>
      </c>
      <c r="I221" t="s">
        <v>678</v>
      </c>
      <c r="J221" t="s">
        <v>691</v>
      </c>
      <c r="AR221">
        <v>17</v>
      </c>
      <c r="AS221" t="s">
        <v>2586</v>
      </c>
    </row>
    <row r="222" spans="1:45" x14ac:dyDescent="0.25">
      <c r="A222">
        <v>48</v>
      </c>
      <c r="B222" t="str">
        <f>VLOOKUP(A222,'model groups'!$A$3:$C$86,2,FALSE)</f>
        <v>reef invertivores</v>
      </c>
      <c r="C222" t="s">
        <v>695</v>
      </c>
      <c r="D222" t="s">
        <v>696</v>
      </c>
      <c r="E222" t="s">
        <v>696</v>
      </c>
      <c r="G222" t="s">
        <v>195</v>
      </c>
      <c r="H222" t="s">
        <v>196</v>
      </c>
      <c r="I222" t="s">
        <v>337</v>
      </c>
      <c r="J222" t="s">
        <v>697</v>
      </c>
      <c r="T222" t="str">
        <f>IF(OR(AK222=1,AN222=1),"reef","no")</f>
        <v>reef</v>
      </c>
      <c r="U222" s="1"/>
      <c r="V222" s="1"/>
      <c r="W222" s="1"/>
      <c r="X222" s="1"/>
      <c r="Y222" s="1"/>
      <c r="Z222" s="1"/>
      <c r="AA222" s="1"/>
      <c r="AB222" s="1"/>
      <c r="AG222">
        <v>0</v>
      </c>
      <c r="AH222">
        <v>0</v>
      </c>
      <c r="AI222">
        <v>0</v>
      </c>
      <c r="AJ222">
        <v>0</v>
      </c>
      <c r="AK222">
        <v>0</v>
      </c>
      <c r="AL222">
        <v>0</v>
      </c>
      <c r="AM222">
        <v>0</v>
      </c>
      <c r="AN222">
        <v>1</v>
      </c>
      <c r="AO222">
        <v>0</v>
      </c>
      <c r="AP222">
        <v>0</v>
      </c>
      <c r="AQ222">
        <v>0</v>
      </c>
      <c r="AR222">
        <v>17</v>
      </c>
      <c r="AS222" t="s">
        <v>2586</v>
      </c>
    </row>
    <row r="223" spans="1:45" x14ac:dyDescent="0.25">
      <c r="A223">
        <v>48</v>
      </c>
      <c r="B223" t="str">
        <f>VLOOKUP(A223,'model groups'!$A$3:$C$86,2,FALSE)</f>
        <v>reef invertivores</v>
      </c>
      <c r="C223" t="s">
        <v>698</v>
      </c>
      <c r="D223" t="s">
        <v>699</v>
      </c>
      <c r="E223" t="s">
        <v>699</v>
      </c>
      <c r="G223" t="s">
        <v>195</v>
      </c>
      <c r="H223" t="s">
        <v>196</v>
      </c>
      <c r="I223" t="s">
        <v>337</v>
      </c>
      <c r="J223" t="s">
        <v>697</v>
      </c>
      <c r="K223" t="s">
        <v>700</v>
      </c>
      <c r="L223">
        <v>0.67015785400000005</v>
      </c>
      <c r="N223">
        <v>51.994377290000003</v>
      </c>
      <c r="P223">
        <v>42.39</v>
      </c>
      <c r="Q223">
        <v>1.2559929999999999</v>
      </c>
      <c r="R223" t="s">
        <v>70</v>
      </c>
      <c r="S223" t="s">
        <v>109</v>
      </c>
      <c r="T223" t="str">
        <f>IF(OR(AK223=1,AN223=1),"reef","no")</f>
        <v>reef</v>
      </c>
      <c r="U223" s="1"/>
      <c r="V223" s="1"/>
      <c r="W223" s="1"/>
      <c r="X223" s="1"/>
      <c r="Y223" s="1"/>
      <c r="Z223" s="1"/>
      <c r="AA223" s="1"/>
      <c r="AB223" s="1"/>
      <c r="AG223">
        <v>0</v>
      </c>
      <c r="AH223">
        <v>0</v>
      </c>
      <c r="AI223">
        <v>0</v>
      </c>
      <c r="AJ223">
        <v>0</v>
      </c>
      <c r="AK223">
        <v>0</v>
      </c>
      <c r="AL223">
        <v>0</v>
      </c>
      <c r="AM223">
        <v>0</v>
      </c>
      <c r="AN223">
        <v>1</v>
      </c>
      <c r="AO223">
        <v>0</v>
      </c>
      <c r="AP223">
        <v>0</v>
      </c>
      <c r="AQ223">
        <v>1</v>
      </c>
      <c r="AR223">
        <v>17</v>
      </c>
      <c r="AS223" t="s">
        <v>2586</v>
      </c>
    </row>
    <row r="224" spans="1:45" x14ac:dyDescent="0.25">
      <c r="A224">
        <v>48</v>
      </c>
      <c r="B224" t="str">
        <f>VLOOKUP(A224,'model groups'!$A$3:$C$86,2,FALSE)</f>
        <v>reef invertivores</v>
      </c>
      <c r="C224" t="s">
        <v>701</v>
      </c>
      <c r="D224" t="s">
        <v>702</v>
      </c>
      <c r="E224" t="s">
        <v>702</v>
      </c>
      <c r="G224" t="s">
        <v>241</v>
      </c>
      <c r="H224" t="s">
        <v>196</v>
      </c>
      <c r="I224" t="s">
        <v>337</v>
      </c>
      <c r="J224" t="s">
        <v>703</v>
      </c>
      <c r="AR224">
        <v>17</v>
      </c>
      <c r="AS224" t="s">
        <v>2586</v>
      </c>
    </row>
    <row r="225" spans="1:45" x14ac:dyDescent="0.25">
      <c r="A225">
        <v>48</v>
      </c>
      <c r="B225" t="str">
        <f>VLOOKUP(A225,'model groups'!$A$3:$C$86,2,FALSE)</f>
        <v>reef invertivores</v>
      </c>
      <c r="C225" t="s">
        <v>704</v>
      </c>
      <c r="D225" t="s">
        <v>705</v>
      </c>
      <c r="E225" t="s">
        <v>705</v>
      </c>
      <c r="G225" t="s">
        <v>195</v>
      </c>
      <c r="H225" t="s">
        <v>196</v>
      </c>
      <c r="I225" t="s">
        <v>337</v>
      </c>
      <c r="J225" t="s">
        <v>706</v>
      </c>
      <c r="K225" t="s">
        <v>707</v>
      </c>
      <c r="L225">
        <v>1.5828450439999999</v>
      </c>
      <c r="M225">
        <v>12.738783789999999</v>
      </c>
      <c r="N225">
        <v>10.668417420000001</v>
      </c>
      <c r="O225">
        <v>3.5416666669999999</v>
      </c>
      <c r="P225">
        <v>23.77</v>
      </c>
      <c r="Q225">
        <v>0.97384800000000005</v>
      </c>
      <c r="R225" t="s">
        <v>70</v>
      </c>
      <c r="S225" t="s">
        <v>109</v>
      </c>
      <c r="T225" t="str">
        <f>IF(OR(AK225=1,AN225=1),"reef","no")</f>
        <v>reef</v>
      </c>
      <c r="U225" s="1">
        <v>0</v>
      </c>
      <c r="V225" s="1">
        <v>0</v>
      </c>
      <c r="W225" s="1">
        <v>0</v>
      </c>
      <c r="X225" s="1">
        <v>0</v>
      </c>
      <c r="Y225" s="1">
        <v>0</v>
      </c>
      <c r="Z225" s="1">
        <v>0</v>
      </c>
      <c r="AA225" s="1">
        <v>0</v>
      </c>
      <c r="AB225" s="1">
        <v>1</v>
      </c>
      <c r="AC225">
        <v>1</v>
      </c>
      <c r="AD225">
        <v>1</v>
      </c>
      <c r="AE225">
        <v>1</v>
      </c>
      <c r="AF225">
        <v>0</v>
      </c>
      <c r="AG225">
        <v>0</v>
      </c>
      <c r="AH225">
        <v>0</v>
      </c>
      <c r="AI225">
        <v>0</v>
      </c>
      <c r="AJ225">
        <v>0</v>
      </c>
      <c r="AK225">
        <v>1</v>
      </c>
      <c r="AL225">
        <v>0</v>
      </c>
      <c r="AM225">
        <v>0</v>
      </c>
      <c r="AN225">
        <v>1</v>
      </c>
      <c r="AO225">
        <v>0</v>
      </c>
      <c r="AP225">
        <v>0</v>
      </c>
      <c r="AQ225">
        <v>0</v>
      </c>
      <c r="AR225">
        <v>17</v>
      </c>
      <c r="AS225" t="s">
        <v>2586</v>
      </c>
    </row>
    <row r="226" spans="1:45" x14ac:dyDescent="0.25">
      <c r="A226">
        <v>48</v>
      </c>
      <c r="B226" t="str">
        <f>VLOOKUP(A226,'model groups'!$A$3:$C$86,2,FALSE)</f>
        <v>reef invertivores</v>
      </c>
      <c r="D226" t="s">
        <v>708</v>
      </c>
      <c r="E226" t="s">
        <v>708</v>
      </c>
      <c r="G226" t="s">
        <v>241</v>
      </c>
      <c r="H226" t="s">
        <v>196</v>
      </c>
      <c r="I226" t="s">
        <v>337</v>
      </c>
      <c r="J226" t="s">
        <v>706</v>
      </c>
      <c r="K226" t="s">
        <v>709</v>
      </c>
      <c r="AR226">
        <v>17</v>
      </c>
      <c r="AS226" t="s">
        <v>2586</v>
      </c>
    </row>
    <row r="227" spans="1:45" x14ac:dyDescent="0.25">
      <c r="A227">
        <v>48</v>
      </c>
      <c r="B227" t="str">
        <f>VLOOKUP(A227,'model groups'!$A$3:$C$86,2,FALSE)</f>
        <v>reef invertivores</v>
      </c>
      <c r="D227" t="s">
        <v>710</v>
      </c>
      <c r="E227" t="s">
        <v>710</v>
      </c>
      <c r="G227" t="s">
        <v>241</v>
      </c>
      <c r="H227" t="s">
        <v>196</v>
      </c>
      <c r="I227" t="s">
        <v>337</v>
      </c>
      <c r="J227" t="s">
        <v>706</v>
      </c>
      <c r="K227" t="s">
        <v>379</v>
      </c>
      <c r="AR227">
        <v>17</v>
      </c>
      <c r="AS227" t="s">
        <v>2586</v>
      </c>
    </row>
    <row r="228" spans="1:45" x14ac:dyDescent="0.25">
      <c r="A228">
        <v>48</v>
      </c>
      <c r="B228" t="str">
        <f>VLOOKUP(A228,'model groups'!$A$3:$C$86,2,FALSE)</f>
        <v>reef invertivores</v>
      </c>
      <c r="D228" t="s">
        <v>711</v>
      </c>
      <c r="E228" t="s">
        <v>711</v>
      </c>
      <c r="G228" t="s">
        <v>241</v>
      </c>
      <c r="H228" t="s">
        <v>196</v>
      </c>
      <c r="I228" t="s">
        <v>337</v>
      </c>
      <c r="J228" t="s">
        <v>706</v>
      </c>
      <c r="K228" t="s">
        <v>712</v>
      </c>
      <c r="AR228">
        <v>17</v>
      </c>
      <c r="AS228" t="s">
        <v>2586</v>
      </c>
    </row>
    <row r="229" spans="1:45" x14ac:dyDescent="0.25">
      <c r="A229">
        <v>48</v>
      </c>
      <c r="B229" t="str">
        <f>VLOOKUP(A229,'model groups'!$A$3:$C$86,2,FALSE)</f>
        <v>reef invertivores</v>
      </c>
      <c r="C229" t="s">
        <v>713</v>
      </c>
      <c r="D229" t="s">
        <v>714</v>
      </c>
      <c r="E229" t="s">
        <v>714</v>
      </c>
      <c r="G229" t="s">
        <v>195</v>
      </c>
      <c r="H229" t="s">
        <v>196</v>
      </c>
      <c r="I229" t="s">
        <v>428</v>
      </c>
      <c r="J229" t="s">
        <v>497</v>
      </c>
      <c r="K229" t="s">
        <v>715</v>
      </c>
      <c r="L229">
        <v>0.54328040799999999</v>
      </c>
      <c r="M229">
        <v>5.6420448489999995</v>
      </c>
      <c r="N229">
        <v>78.50704958</v>
      </c>
      <c r="O229">
        <v>3.33</v>
      </c>
      <c r="P229">
        <v>55.84</v>
      </c>
      <c r="Q229">
        <v>2.7323300000000001</v>
      </c>
      <c r="R229" t="s">
        <v>70</v>
      </c>
      <c r="S229" t="s">
        <v>77</v>
      </c>
      <c r="T229" t="str">
        <f t="shared" ref="T229:T236" si="6">IF(OR(AK229=1,AN229=1),"reef","no")</f>
        <v>reef</v>
      </c>
      <c r="U229" s="1">
        <v>0</v>
      </c>
      <c r="V229" s="1">
        <v>0.23300000470556992</v>
      </c>
      <c r="W229" s="1">
        <v>3.0000000788699987E-3</v>
      </c>
      <c r="X229" s="1">
        <v>0</v>
      </c>
      <c r="Y229" s="1">
        <v>0</v>
      </c>
      <c r="Z229" s="1">
        <v>0</v>
      </c>
      <c r="AA229" s="3">
        <v>0.76399999521556006</v>
      </c>
      <c r="AB229" s="1">
        <v>0</v>
      </c>
      <c r="AC229">
        <v>0</v>
      </c>
      <c r="AD229">
        <v>0</v>
      </c>
      <c r="AE229">
        <v>0</v>
      </c>
      <c r="AF229">
        <v>0</v>
      </c>
      <c r="AG229">
        <v>0</v>
      </c>
      <c r="AH229">
        <v>0</v>
      </c>
      <c r="AI229">
        <v>0</v>
      </c>
      <c r="AJ229">
        <v>0</v>
      </c>
      <c r="AK229">
        <v>1</v>
      </c>
      <c r="AL229">
        <v>0</v>
      </c>
      <c r="AM229">
        <v>1</v>
      </c>
      <c r="AN229">
        <v>1</v>
      </c>
      <c r="AO229">
        <v>0</v>
      </c>
      <c r="AP229">
        <v>0</v>
      </c>
      <c r="AQ229">
        <v>1</v>
      </c>
      <c r="AR229">
        <v>17</v>
      </c>
      <c r="AS229" t="s">
        <v>2586</v>
      </c>
    </row>
    <row r="230" spans="1:45" x14ac:dyDescent="0.25">
      <c r="A230">
        <v>48</v>
      </c>
      <c r="B230" t="str">
        <f>VLOOKUP(A230,'model groups'!$A$3:$C$86,2,FALSE)</f>
        <v>reef invertivores</v>
      </c>
      <c r="C230" t="s">
        <v>716</v>
      </c>
      <c r="D230" t="s">
        <v>717</v>
      </c>
      <c r="E230" t="s">
        <v>717</v>
      </c>
      <c r="G230" t="s">
        <v>195</v>
      </c>
      <c r="H230" t="s">
        <v>196</v>
      </c>
      <c r="I230" t="s">
        <v>428</v>
      </c>
      <c r="J230" t="s">
        <v>497</v>
      </c>
      <c r="K230" t="s">
        <v>718</v>
      </c>
      <c r="L230">
        <v>0.62369196299999996</v>
      </c>
      <c r="M230">
        <v>6.6788192605000001</v>
      </c>
      <c r="N230">
        <v>58.128864219999997</v>
      </c>
      <c r="O230">
        <v>3.375</v>
      </c>
      <c r="P230">
        <v>55.84</v>
      </c>
      <c r="Q230">
        <v>3.01125</v>
      </c>
      <c r="R230" t="s">
        <v>70</v>
      </c>
      <c r="S230" t="s">
        <v>77</v>
      </c>
      <c r="T230" t="str">
        <f t="shared" si="6"/>
        <v>reef</v>
      </c>
      <c r="U230" s="1">
        <v>0</v>
      </c>
      <c r="V230" s="1">
        <v>0.29799999641460001</v>
      </c>
      <c r="W230" s="1">
        <v>1.4999999965499998E-2</v>
      </c>
      <c r="X230" s="1">
        <v>0</v>
      </c>
      <c r="Y230" s="1">
        <v>0</v>
      </c>
      <c r="Z230" s="1">
        <v>0</v>
      </c>
      <c r="AA230" s="3">
        <v>0.68700000361989999</v>
      </c>
      <c r="AB230" s="1">
        <v>0</v>
      </c>
      <c r="AC230">
        <v>0</v>
      </c>
      <c r="AD230">
        <v>0</v>
      </c>
      <c r="AE230">
        <v>0</v>
      </c>
      <c r="AF230">
        <v>0</v>
      </c>
      <c r="AG230">
        <v>0</v>
      </c>
      <c r="AH230">
        <v>0</v>
      </c>
      <c r="AI230">
        <v>0</v>
      </c>
      <c r="AJ230">
        <v>0</v>
      </c>
      <c r="AK230">
        <v>0</v>
      </c>
      <c r="AL230">
        <v>0</v>
      </c>
      <c r="AM230">
        <v>0</v>
      </c>
      <c r="AN230">
        <v>1</v>
      </c>
      <c r="AO230">
        <v>0</v>
      </c>
      <c r="AP230">
        <v>0</v>
      </c>
      <c r="AQ230">
        <v>0</v>
      </c>
      <c r="AR230">
        <v>17</v>
      </c>
      <c r="AS230" t="s">
        <v>2586</v>
      </c>
    </row>
    <row r="231" spans="1:45" x14ac:dyDescent="0.25">
      <c r="A231">
        <v>48</v>
      </c>
      <c r="B231" t="str">
        <f>VLOOKUP(A231,'model groups'!$A$3:$C$86,2,FALSE)</f>
        <v>reef invertivores</v>
      </c>
      <c r="C231" t="s">
        <v>719</v>
      </c>
      <c r="D231" t="s">
        <v>720</v>
      </c>
      <c r="E231" t="s">
        <v>720</v>
      </c>
      <c r="G231" t="s">
        <v>195</v>
      </c>
      <c r="H231" t="s">
        <v>434</v>
      </c>
      <c r="I231" t="s">
        <v>428</v>
      </c>
      <c r="J231" t="s">
        <v>497</v>
      </c>
      <c r="T231" t="str">
        <f t="shared" si="6"/>
        <v>no</v>
      </c>
      <c r="U231" s="1"/>
      <c r="V231" s="1"/>
      <c r="W231" s="1"/>
      <c r="X231" s="1"/>
      <c r="Y231" s="1"/>
      <c r="Z231" s="1"/>
      <c r="AA231" s="1"/>
      <c r="AB231" s="1"/>
      <c r="AG231">
        <v>0</v>
      </c>
      <c r="AH231">
        <v>0</v>
      </c>
      <c r="AI231">
        <v>0</v>
      </c>
      <c r="AJ231">
        <v>0</v>
      </c>
      <c r="AK231">
        <v>0</v>
      </c>
      <c r="AL231">
        <v>0</v>
      </c>
      <c r="AM231">
        <v>1</v>
      </c>
      <c r="AN231">
        <v>0</v>
      </c>
      <c r="AO231">
        <v>0</v>
      </c>
      <c r="AP231">
        <v>0</v>
      </c>
      <c r="AQ231">
        <v>0</v>
      </c>
      <c r="AR231">
        <v>17</v>
      </c>
      <c r="AS231" t="s">
        <v>2586</v>
      </c>
    </row>
    <row r="232" spans="1:45" x14ac:dyDescent="0.25">
      <c r="A232">
        <v>48</v>
      </c>
      <c r="B232" t="str">
        <f>VLOOKUP(A232,'model groups'!$A$3:$C$86,2,FALSE)</f>
        <v>reef invertivores</v>
      </c>
      <c r="C232" t="s">
        <v>721</v>
      </c>
      <c r="D232" t="s">
        <v>722</v>
      </c>
      <c r="E232" t="s">
        <v>722</v>
      </c>
      <c r="G232" t="s">
        <v>195</v>
      </c>
      <c r="H232" t="s">
        <v>419</v>
      </c>
      <c r="I232" t="s">
        <v>723</v>
      </c>
      <c r="J232" t="s">
        <v>724</v>
      </c>
      <c r="K232" t="s">
        <v>725</v>
      </c>
      <c r="L232">
        <v>1.6563711729999999</v>
      </c>
      <c r="M232">
        <v>17.104700690000001</v>
      </c>
      <c r="N232">
        <v>12.76504248</v>
      </c>
      <c r="O232">
        <v>3.0133333329999998</v>
      </c>
      <c r="P232">
        <v>11.03</v>
      </c>
      <c r="Q232">
        <v>1.8912500000000001</v>
      </c>
      <c r="R232" t="s">
        <v>70</v>
      </c>
      <c r="S232" t="s">
        <v>77</v>
      </c>
      <c r="T232" t="str">
        <f t="shared" si="6"/>
        <v>reef</v>
      </c>
      <c r="U232" s="1">
        <v>0</v>
      </c>
      <c r="V232" s="1">
        <v>0.2101605122893411</v>
      </c>
      <c r="W232" s="1">
        <v>4.1002048852717653E-2</v>
      </c>
      <c r="X232" s="1">
        <v>0.19115956028063763</v>
      </c>
      <c r="Y232" s="1">
        <v>0</v>
      </c>
      <c r="Z232" s="1">
        <v>1.4700735219298589E-2</v>
      </c>
      <c r="AA232" s="3">
        <v>0.51847591799584081</v>
      </c>
      <c r="AB232" s="1">
        <v>2.4501225362164151E-2</v>
      </c>
      <c r="AC232">
        <v>0</v>
      </c>
      <c r="AD232">
        <v>0</v>
      </c>
      <c r="AE232">
        <v>1</v>
      </c>
      <c r="AF232">
        <v>1</v>
      </c>
      <c r="AG232">
        <v>0</v>
      </c>
      <c r="AH232">
        <v>0</v>
      </c>
      <c r="AI232">
        <v>0</v>
      </c>
      <c r="AJ232">
        <v>0</v>
      </c>
      <c r="AK232">
        <v>1</v>
      </c>
      <c r="AL232">
        <v>0</v>
      </c>
      <c r="AM232">
        <v>0</v>
      </c>
      <c r="AN232">
        <v>1</v>
      </c>
      <c r="AO232">
        <v>0</v>
      </c>
      <c r="AP232">
        <v>0</v>
      </c>
      <c r="AQ232">
        <v>0</v>
      </c>
      <c r="AR232">
        <v>17</v>
      </c>
      <c r="AS232" t="s">
        <v>2586</v>
      </c>
    </row>
    <row r="233" spans="1:45" x14ac:dyDescent="0.25">
      <c r="A233">
        <v>48</v>
      </c>
      <c r="B233" t="str">
        <f>VLOOKUP(A233,'model groups'!$A$3:$C$86,2,FALSE)</f>
        <v>reef invertivores</v>
      </c>
      <c r="C233" t="s">
        <v>726</v>
      </c>
      <c r="D233" t="s">
        <v>727</v>
      </c>
      <c r="E233" t="s">
        <v>727</v>
      </c>
      <c r="G233" t="s">
        <v>195</v>
      </c>
      <c r="H233" t="s">
        <v>419</v>
      </c>
      <c r="I233" t="s">
        <v>723</v>
      </c>
      <c r="J233" t="s">
        <v>728</v>
      </c>
      <c r="K233" t="s">
        <v>729</v>
      </c>
      <c r="L233">
        <v>0.92649175900000003</v>
      </c>
      <c r="M233">
        <v>8.8722955930000005</v>
      </c>
      <c r="N233">
        <v>31.451041149999998</v>
      </c>
      <c r="O233">
        <v>3.3166666669999998</v>
      </c>
      <c r="P233">
        <v>24.86</v>
      </c>
      <c r="Q233">
        <v>1.9722500000000001</v>
      </c>
      <c r="R233" t="s">
        <v>50</v>
      </c>
      <c r="S233" t="s">
        <v>77</v>
      </c>
      <c r="T233" t="str">
        <f t="shared" si="6"/>
        <v>reef</v>
      </c>
      <c r="U233" s="1">
        <v>7.4000000122359999E-3</v>
      </c>
      <c r="V233" s="1">
        <v>0.36349999948888995</v>
      </c>
      <c r="W233" s="1">
        <v>0</v>
      </c>
      <c r="X233" s="1">
        <v>9.2799996229392043E-2</v>
      </c>
      <c r="Y233" s="1">
        <v>0</v>
      </c>
      <c r="Z233" s="1">
        <v>0</v>
      </c>
      <c r="AA233" s="1">
        <v>0.53630000426948199</v>
      </c>
      <c r="AB233" s="1">
        <v>0</v>
      </c>
      <c r="AC233">
        <v>0</v>
      </c>
      <c r="AD233">
        <v>0</v>
      </c>
      <c r="AE233">
        <v>1</v>
      </c>
      <c r="AF233">
        <v>0</v>
      </c>
      <c r="AG233">
        <v>1</v>
      </c>
      <c r="AH233">
        <v>0</v>
      </c>
      <c r="AI233">
        <v>0</v>
      </c>
      <c r="AJ233">
        <v>0</v>
      </c>
      <c r="AK233">
        <v>1</v>
      </c>
      <c r="AL233">
        <v>0</v>
      </c>
      <c r="AM233">
        <v>1</v>
      </c>
      <c r="AN233">
        <v>0</v>
      </c>
      <c r="AO233">
        <v>0</v>
      </c>
      <c r="AP233">
        <v>0</v>
      </c>
      <c r="AQ233">
        <v>0</v>
      </c>
      <c r="AR233">
        <v>17</v>
      </c>
      <c r="AS233" t="s">
        <v>2586</v>
      </c>
    </row>
    <row r="234" spans="1:45" x14ac:dyDescent="0.25">
      <c r="A234">
        <v>49</v>
      </c>
      <c r="B234" t="str">
        <f>VLOOKUP(A234,'model groups'!$A$3:$C$86,2,FALSE)</f>
        <v>medium reef omnivores</v>
      </c>
      <c r="C234" t="s">
        <v>730</v>
      </c>
      <c r="D234" t="s">
        <v>731</v>
      </c>
      <c r="E234" t="s">
        <v>731</v>
      </c>
      <c r="G234" t="s">
        <v>195</v>
      </c>
      <c r="H234" t="s">
        <v>196</v>
      </c>
      <c r="I234" t="s">
        <v>732</v>
      </c>
      <c r="J234" t="s">
        <v>733</v>
      </c>
      <c r="K234" t="s">
        <v>734</v>
      </c>
      <c r="L234">
        <v>0.55343846200000002</v>
      </c>
      <c r="M234">
        <v>21.859071999999998</v>
      </c>
      <c r="N234">
        <v>40.716147569999997</v>
      </c>
      <c r="O234">
        <v>2.0299999999999998</v>
      </c>
      <c r="P234">
        <v>22.98</v>
      </c>
      <c r="Q234">
        <v>1.867165</v>
      </c>
      <c r="R234" t="s">
        <v>70</v>
      </c>
      <c r="S234" t="s">
        <v>77</v>
      </c>
      <c r="T234" t="str">
        <f t="shared" si="6"/>
        <v>reef</v>
      </c>
      <c r="U234" s="1">
        <v>0</v>
      </c>
      <c r="V234" s="1">
        <v>0</v>
      </c>
      <c r="W234" s="1">
        <v>0.25264999169941854</v>
      </c>
      <c r="X234" s="3">
        <v>0.69840000971693594</v>
      </c>
      <c r="Y234" s="1">
        <v>0</v>
      </c>
      <c r="Z234" s="1">
        <v>0</v>
      </c>
      <c r="AA234" s="1">
        <v>1.8749999986687495E-2</v>
      </c>
      <c r="AB234" s="1">
        <v>3.019999859695801E-2</v>
      </c>
      <c r="AC234">
        <v>0</v>
      </c>
      <c r="AD234">
        <v>1</v>
      </c>
      <c r="AE234">
        <v>0</v>
      </c>
      <c r="AF234">
        <v>1</v>
      </c>
      <c r="AG234">
        <v>0</v>
      </c>
      <c r="AH234">
        <v>0</v>
      </c>
      <c r="AI234">
        <v>0</v>
      </c>
      <c r="AJ234">
        <v>0</v>
      </c>
      <c r="AK234">
        <v>0</v>
      </c>
      <c r="AL234">
        <v>0</v>
      </c>
      <c r="AM234">
        <v>0</v>
      </c>
      <c r="AN234">
        <v>1</v>
      </c>
      <c r="AO234">
        <v>0</v>
      </c>
      <c r="AP234">
        <v>0</v>
      </c>
      <c r="AQ234">
        <v>0</v>
      </c>
      <c r="AR234">
        <v>17</v>
      </c>
      <c r="AS234" t="s">
        <v>2586</v>
      </c>
    </row>
    <row r="235" spans="1:45" x14ac:dyDescent="0.25">
      <c r="A235">
        <v>49</v>
      </c>
      <c r="B235" t="str">
        <f>VLOOKUP(A235,'model groups'!$A$3:$C$86,2,FALSE)</f>
        <v>medium reef omnivores</v>
      </c>
      <c r="C235" t="s">
        <v>735</v>
      </c>
      <c r="D235" t="s">
        <v>736</v>
      </c>
      <c r="E235" t="s">
        <v>736</v>
      </c>
      <c r="G235" t="s">
        <v>195</v>
      </c>
      <c r="H235" t="s">
        <v>196</v>
      </c>
      <c r="I235" t="s">
        <v>737</v>
      </c>
      <c r="J235" t="s">
        <v>738</v>
      </c>
      <c r="K235" t="s">
        <v>739</v>
      </c>
      <c r="L235">
        <v>0.63597825600000002</v>
      </c>
      <c r="M235">
        <v>6.7699003280000003</v>
      </c>
      <c r="N235">
        <v>93.733025249999997</v>
      </c>
      <c r="O235">
        <v>4.3533333330000001</v>
      </c>
      <c r="P235">
        <v>36.89</v>
      </c>
      <c r="Q235">
        <v>3.2325900000000001</v>
      </c>
      <c r="R235" t="s">
        <v>50</v>
      </c>
      <c r="S235" t="s">
        <v>77</v>
      </c>
      <c r="T235" t="str">
        <f t="shared" si="6"/>
        <v>reef</v>
      </c>
      <c r="U235" s="1">
        <v>0</v>
      </c>
      <c r="V235" s="1">
        <v>9.6617389410778472E-3</v>
      </c>
      <c r="W235" s="1">
        <v>0.26356744040422087</v>
      </c>
      <c r="X235" s="1">
        <v>3.8907002070441302E-2</v>
      </c>
      <c r="Y235" s="1">
        <v>0</v>
      </c>
      <c r="Z235" s="1">
        <v>0.36338541559329846</v>
      </c>
      <c r="AA235" s="1">
        <v>0.21513872224562786</v>
      </c>
      <c r="AB235" s="1">
        <v>0.10933968074533366</v>
      </c>
      <c r="AC235">
        <v>0</v>
      </c>
      <c r="AD235">
        <v>0</v>
      </c>
      <c r="AE235">
        <v>0</v>
      </c>
      <c r="AF235">
        <v>0</v>
      </c>
      <c r="AG235">
        <v>1</v>
      </c>
      <c r="AH235">
        <v>0</v>
      </c>
      <c r="AI235">
        <v>0</v>
      </c>
      <c r="AJ235">
        <v>0</v>
      </c>
      <c r="AK235">
        <v>0</v>
      </c>
      <c r="AL235">
        <v>0</v>
      </c>
      <c r="AM235">
        <v>1</v>
      </c>
      <c r="AN235">
        <v>1</v>
      </c>
      <c r="AO235">
        <v>0</v>
      </c>
      <c r="AP235">
        <v>0</v>
      </c>
      <c r="AQ235">
        <v>0</v>
      </c>
      <c r="AR235">
        <v>17</v>
      </c>
      <c r="AS235" t="s">
        <v>2586</v>
      </c>
    </row>
    <row r="236" spans="1:45" x14ac:dyDescent="0.25">
      <c r="A236">
        <v>49</v>
      </c>
      <c r="B236" t="str">
        <f>VLOOKUP(A236,'model groups'!$A$3:$C$86,2,FALSE)</f>
        <v>medium reef omnivores</v>
      </c>
      <c r="C236" t="s">
        <v>740</v>
      </c>
      <c r="D236" t="s">
        <v>741</v>
      </c>
      <c r="E236" t="s">
        <v>741</v>
      </c>
      <c r="G236" t="s">
        <v>195</v>
      </c>
      <c r="H236" t="s">
        <v>538</v>
      </c>
      <c r="I236" t="s">
        <v>539</v>
      </c>
      <c r="J236" t="s">
        <v>742</v>
      </c>
      <c r="K236" t="s">
        <v>743</v>
      </c>
      <c r="L236">
        <v>1.040032415</v>
      </c>
      <c r="M236">
        <v>12.486243890000001</v>
      </c>
      <c r="N236">
        <v>26.285289379999998</v>
      </c>
      <c r="O236">
        <v>3.51</v>
      </c>
      <c r="P236">
        <v>18.940000000000001</v>
      </c>
      <c r="Q236">
        <v>2.7684099999999998</v>
      </c>
      <c r="R236" t="s">
        <v>70</v>
      </c>
      <c r="S236" t="s">
        <v>77</v>
      </c>
      <c r="T236" t="str">
        <f t="shared" si="6"/>
        <v>reef</v>
      </c>
      <c r="U236" s="1">
        <v>2.701485899445507E-2</v>
      </c>
      <c r="V236" s="1">
        <v>0.48731803028610365</v>
      </c>
      <c r="W236" s="1">
        <v>0.2785031710699386</v>
      </c>
      <c r="X236" s="1">
        <v>0</v>
      </c>
      <c r="Y236" s="1">
        <v>0</v>
      </c>
      <c r="Z236" s="1">
        <v>0</v>
      </c>
      <c r="AA236" s="1">
        <v>6.953824739642224E-2</v>
      </c>
      <c r="AB236" s="1">
        <v>0.13762569225308047</v>
      </c>
      <c r="AC236">
        <v>0</v>
      </c>
      <c r="AD236">
        <v>1</v>
      </c>
      <c r="AE236">
        <v>0</v>
      </c>
      <c r="AF236">
        <v>1</v>
      </c>
      <c r="AG236">
        <v>0</v>
      </c>
      <c r="AH236">
        <v>0</v>
      </c>
      <c r="AI236">
        <v>0</v>
      </c>
      <c r="AJ236">
        <v>0</v>
      </c>
      <c r="AK236">
        <v>0</v>
      </c>
      <c r="AL236">
        <v>0</v>
      </c>
      <c r="AM236">
        <v>0</v>
      </c>
      <c r="AN236">
        <v>1</v>
      </c>
      <c r="AO236">
        <v>0</v>
      </c>
      <c r="AP236">
        <v>0</v>
      </c>
      <c r="AQ236">
        <v>0</v>
      </c>
      <c r="AR236">
        <v>17</v>
      </c>
      <c r="AS236" t="s">
        <v>2586</v>
      </c>
    </row>
    <row r="237" spans="1:45" x14ac:dyDescent="0.25">
      <c r="A237">
        <v>49</v>
      </c>
      <c r="B237" t="str">
        <f>VLOOKUP(A237,'model groups'!$A$3:$C$86,2,FALSE)</f>
        <v>medium reef omnivores</v>
      </c>
      <c r="D237" t="s">
        <v>744</v>
      </c>
      <c r="E237" t="s">
        <v>744</v>
      </c>
      <c r="G237" t="s">
        <v>241</v>
      </c>
      <c r="H237" t="s">
        <v>745</v>
      </c>
      <c r="I237" t="s">
        <v>539</v>
      </c>
      <c r="J237" t="s">
        <v>746</v>
      </c>
      <c r="K237" t="s">
        <v>747</v>
      </c>
      <c r="AR237">
        <v>17</v>
      </c>
      <c r="AS237" t="s">
        <v>2586</v>
      </c>
    </row>
    <row r="238" spans="1:45" x14ac:dyDescent="0.25">
      <c r="A238">
        <v>49</v>
      </c>
      <c r="B238" t="str">
        <f>VLOOKUP(A238,'model groups'!$A$3:$C$86,2,FALSE)</f>
        <v>medium reef omnivores</v>
      </c>
      <c r="C238" t="s">
        <v>748</v>
      </c>
      <c r="D238" t="s">
        <v>749</v>
      </c>
      <c r="E238" t="s">
        <v>749</v>
      </c>
      <c r="G238" t="s">
        <v>195</v>
      </c>
      <c r="H238" t="s">
        <v>419</v>
      </c>
      <c r="I238" t="s">
        <v>750</v>
      </c>
      <c r="J238" t="s">
        <v>751</v>
      </c>
      <c r="T238" t="str">
        <f t="shared" ref="T238:T244" si="7">IF(OR(AK238=1,AN238=1),"reef","no")</f>
        <v>no</v>
      </c>
      <c r="U238" s="1"/>
      <c r="V238" s="1"/>
      <c r="W238" s="1"/>
      <c r="X238" s="1"/>
      <c r="Y238" s="1"/>
      <c r="Z238" s="1"/>
      <c r="AA238" s="1"/>
      <c r="AB238" s="1"/>
      <c r="AG238">
        <v>0</v>
      </c>
      <c r="AH238">
        <v>0</v>
      </c>
      <c r="AI238">
        <v>0</v>
      </c>
      <c r="AJ238">
        <v>0</v>
      </c>
      <c r="AK238">
        <v>0</v>
      </c>
      <c r="AL238">
        <v>0</v>
      </c>
      <c r="AM238">
        <v>1</v>
      </c>
      <c r="AN238">
        <v>0</v>
      </c>
      <c r="AO238">
        <v>0</v>
      </c>
      <c r="AP238">
        <v>0</v>
      </c>
      <c r="AQ238">
        <v>0</v>
      </c>
      <c r="AR238">
        <v>17</v>
      </c>
      <c r="AS238" t="s">
        <v>2586</v>
      </c>
    </row>
    <row r="239" spans="1:45" x14ac:dyDescent="0.25">
      <c r="A239">
        <v>49</v>
      </c>
      <c r="B239" t="str">
        <f>VLOOKUP(A239,'model groups'!$A$3:$C$86,2,FALSE)</f>
        <v>medium reef omnivores</v>
      </c>
      <c r="C239" t="s">
        <v>748</v>
      </c>
      <c r="D239" t="s">
        <v>749</v>
      </c>
      <c r="E239" t="s">
        <v>752</v>
      </c>
      <c r="G239" t="s">
        <v>195</v>
      </c>
      <c r="H239" t="s">
        <v>419</v>
      </c>
      <c r="I239" t="s">
        <v>750</v>
      </c>
      <c r="J239" t="s">
        <v>751</v>
      </c>
      <c r="T239" t="str">
        <f t="shared" si="7"/>
        <v>no</v>
      </c>
      <c r="U239" s="1"/>
      <c r="V239" s="1"/>
      <c r="W239" s="1"/>
      <c r="X239" s="1"/>
      <c r="Y239" s="1"/>
      <c r="Z239" s="1"/>
      <c r="AA239" s="1"/>
      <c r="AB239" s="1"/>
      <c r="AG239">
        <v>1</v>
      </c>
      <c r="AH239">
        <v>0</v>
      </c>
      <c r="AI239">
        <v>0</v>
      </c>
      <c r="AJ239">
        <v>0</v>
      </c>
      <c r="AK239">
        <v>0</v>
      </c>
      <c r="AL239">
        <v>0</v>
      </c>
      <c r="AM239">
        <v>0</v>
      </c>
      <c r="AN239">
        <v>0</v>
      </c>
      <c r="AO239">
        <v>0</v>
      </c>
      <c r="AP239">
        <v>0</v>
      </c>
      <c r="AQ239">
        <v>0</v>
      </c>
      <c r="AR239">
        <v>17</v>
      </c>
      <c r="AS239" t="s">
        <v>2586</v>
      </c>
    </row>
    <row r="240" spans="1:45" x14ac:dyDescent="0.25">
      <c r="A240">
        <v>49</v>
      </c>
      <c r="B240" t="str">
        <f>VLOOKUP(A240,'model groups'!$A$3:$C$86,2,FALSE)</f>
        <v>medium reef omnivores</v>
      </c>
      <c r="C240" t="s">
        <v>753</v>
      </c>
      <c r="D240" t="s">
        <v>754</v>
      </c>
      <c r="E240" t="s">
        <v>754</v>
      </c>
      <c r="G240" t="s">
        <v>195</v>
      </c>
      <c r="H240" t="s">
        <v>419</v>
      </c>
      <c r="I240" t="s">
        <v>750</v>
      </c>
      <c r="J240" t="s">
        <v>751</v>
      </c>
      <c r="K240" t="s">
        <v>755</v>
      </c>
      <c r="L240">
        <v>0.51304382299999995</v>
      </c>
      <c r="M240">
        <v>7.3146373209999993</v>
      </c>
      <c r="N240">
        <v>78.710357920000007</v>
      </c>
      <c r="O240">
        <v>3.5933333329999999</v>
      </c>
      <c r="P240">
        <v>47.86</v>
      </c>
      <c r="Q240">
        <v>1.5412650000000001</v>
      </c>
      <c r="R240" t="s">
        <v>70</v>
      </c>
      <c r="S240" t="s">
        <v>77</v>
      </c>
      <c r="T240" t="str">
        <f t="shared" si="7"/>
        <v>reef</v>
      </c>
      <c r="U240" s="1">
        <v>2.400119982952495E-3</v>
      </c>
      <c r="V240" s="1">
        <v>0.12485624751451138</v>
      </c>
      <c r="W240" s="1">
        <v>0.39726985265397319</v>
      </c>
      <c r="X240" s="1">
        <v>3.715185715007286E-2</v>
      </c>
      <c r="Y240" s="1">
        <v>0</v>
      </c>
      <c r="Z240" s="1">
        <v>0.20951047407650644</v>
      </c>
      <c r="AA240" s="1">
        <v>6.0403021709411406E-2</v>
      </c>
      <c r="AB240" s="1">
        <v>0.16840842691257224</v>
      </c>
      <c r="AC240">
        <v>0</v>
      </c>
      <c r="AD240">
        <v>1</v>
      </c>
      <c r="AE240">
        <v>0</v>
      </c>
      <c r="AF240">
        <v>1</v>
      </c>
      <c r="AG240">
        <v>0</v>
      </c>
      <c r="AH240">
        <v>0</v>
      </c>
      <c r="AI240">
        <v>0</v>
      </c>
      <c r="AJ240">
        <v>0</v>
      </c>
      <c r="AK240">
        <v>0</v>
      </c>
      <c r="AL240">
        <v>0</v>
      </c>
      <c r="AM240">
        <v>0</v>
      </c>
      <c r="AN240">
        <v>1</v>
      </c>
      <c r="AO240">
        <v>0</v>
      </c>
      <c r="AP240">
        <v>0</v>
      </c>
      <c r="AQ240">
        <v>0</v>
      </c>
      <c r="AR240">
        <v>17</v>
      </c>
      <c r="AS240" t="s">
        <v>2586</v>
      </c>
    </row>
    <row r="241" spans="1:45" x14ac:dyDescent="0.25">
      <c r="A241">
        <v>49</v>
      </c>
      <c r="B241" t="str">
        <f>VLOOKUP(A241,'model groups'!$A$3:$C$86,2,FALSE)</f>
        <v>medium reef omnivores</v>
      </c>
      <c r="C241" t="s">
        <v>756</v>
      </c>
      <c r="D241" t="s">
        <v>757</v>
      </c>
      <c r="E241" t="s">
        <v>757</v>
      </c>
      <c r="G241" t="s">
        <v>195</v>
      </c>
      <c r="H241" t="s">
        <v>419</v>
      </c>
      <c r="I241" t="s">
        <v>750</v>
      </c>
      <c r="J241" t="s">
        <v>751</v>
      </c>
      <c r="K241" t="s">
        <v>758</v>
      </c>
      <c r="L241">
        <v>0.59077236899999996</v>
      </c>
      <c r="M241">
        <v>15.723682394999999</v>
      </c>
      <c r="N241">
        <v>63.232898640000002</v>
      </c>
      <c r="O241">
        <v>2.73</v>
      </c>
      <c r="P241">
        <v>54.83</v>
      </c>
      <c r="Q241">
        <v>0.66220500000000004</v>
      </c>
      <c r="R241" t="s">
        <v>70</v>
      </c>
      <c r="S241" t="s">
        <v>77</v>
      </c>
      <c r="T241" t="str">
        <f t="shared" si="7"/>
        <v>no</v>
      </c>
      <c r="U241" s="1">
        <v>0</v>
      </c>
      <c r="V241" s="1">
        <v>6.0000002827200012E-3</v>
      </c>
      <c r="W241" s="1">
        <v>0</v>
      </c>
      <c r="X241" s="1">
        <v>0.98799999943455996</v>
      </c>
      <c r="Y241" s="1">
        <v>0</v>
      </c>
      <c r="Z241" s="1">
        <v>0</v>
      </c>
      <c r="AA241" s="1">
        <v>6.0000002827200012E-3</v>
      </c>
      <c r="AB241" s="1">
        <v>0</v>
      </c>
      <c r="AC241">
        <v>1</v>
      </c>
      <c r="AD241">
        <v>0</v>
      </c>
      <c r="AE241">
        <v>1</v>
      </c>
      <c r="AF241">
        <v>0</v>
      </c>
      <c r="AG241">
        <v>1</v>
      </c>
      <c r="AH241">
        <v>0</v>
      </c>
      <c r="AI241">
        <v>0</v>
      </c>
      <c r="AJ241">
        <v>0</v>
      </c>
      <c r="AK241">
        <v>0</v>
      </c>
      <c r="AL241">
        <v>0</v>
      </c>
      <c r="AM241">
        <v>0</v>
      </c>
      <c r="AN241">
        <v>0</v>
      </c>
      <c r="AO241">
        <v>0</v>
      </c>
      <c r="AP241">
        <v>0</v>
      </c>
      <c r="AQ241">
        <v>0</v>
      </c>
      <c r="AR241">
        <v>17</v>
      </c>
      <c r="AS241" t="s">
        <v>2586</v>
      </c>
    </row>
    <row r="242" spans="1:45" x14ac:dyDescent="0.25">
      <c r="A242">
        <v>49</v>
      </c>
      <c r="B242" t="str">
        <f>VLOOKUP(A242,'model groups'!$A$3:$C$86,2,FALSE)</f>
        <v>medium reef omnivores</v>
      </c>
      <c r="C242" t="s">
        <v>756</v>
      </c>
      <c r="D242" t="s">
        <v>759</v>
      </c>
      <c r="E242" t="s">
        <v>759</v>
      </c>
      <c r="G242" t="s">
        <v>195</v>
      </c>
      <c r="H242" t="s">
        <v>419</v>
      </c>
      <c r="I242" t="s">
        <v>750</v>
      </c>
      <c r="J242" t="s">
        <v>751</v>
      </c>
      <c r="K242" t="s">
        <v>758</v>
      </c>
      <c r="L242">
        <v>0.59077236899999996</v>
      </c>
      <c r="M242">
        <v>15.723682394999999</v>
      </c>
      <c r="N242">
        <v>63.232898640000002</v>
      </c>
      <c r="O242">
        <v>2.73</v>
      </c>
      <c r="P242">
        <v>54.83</v>
      </c>
      <c r="Q242">
        <v>0.66220500000000004</v>
      </c>
      <c r="R242" t="s">
        <v>70</v>
      </c>
      <c r="S242" t="s">
        <v>77</v>
      </c>
      <c r="T242" t="str">
        <f t="shared" si="7"/>
        <v>reef</v>
      </c>
      <c r="U242" s="1">
        <v>0</v>
      </c>
      <c r="V242" s="1">
        <v>6.0000002827200012E-3</v>
      </c>
      <c r="W242" s="1">
        <v>0</v>
      </c>
      <c r="X242" s="3">
        <v>0.98799999943455996</v>
      </c>
      <c r="Y242" s="1">
        <v>0</v>
      </c>
      <c r="Z242" s="1">
        <v>0</v>
      </c>
      <c r="AA242" s="1">
        <v>6.0000002827200012E-3</v>
      </c>
      <c r="AB242" s="1">
        <v>0</v>
      </c>
      <c r="AC242">
        <v>1</v>
      </c>
      <c r="AD242">
        <v>0</v>
      </c>
      <c r="AE242">
        <v>1</v>
      </c>
      <c r="AF242">
        <v>0</v>
      </c>
      <c r="AG242">
        <v>0</v>
      </c>
      <c r="AH242">
        <v>0</v>
      </c>
      <c r="AI242">
        <v>0</v>
      </c>
      <c r="AJ242">
        <v>0</v>
      </c>
      <c r="AK242">
        <v>1</v>
      </c>
      <c r="AL242">
        <v>0</v>
      </c>
      <c r="AM242">
        <v>1</v>
      </c>
      <c r="AN242">
        <v>1</v>
      </c>
      <c r="AO242">
        <v>0</v>
      </c>
      <c r="AP242">
        <v>0</v>
      </c>
      <c r="AQ242">
        <v>0</v>
      </c>
      <c r="AR242">
        <v>17</v>
      </c>
      <c r="AS242" t="s">
        <v>2586</v>
      </c>
    </row>
    <row r="243" spans="1:45" x14ac:dyDescent="0.25">
      <c r="A243">
        <v>49</v>
      </c>
      <c r="B243" t="str">
        <f>VLOOKUP(A243,'model groups'!$A$3:$C$86,2,FALSE)</f>
        <v>medium reef omnivores</v>
      </c>
      <c r="C243" t="s">
        <v>760</v>
      </c>
      <c r="D243" t="s">
        <v>761</v>
      </c>
      <c r="E243" t="s">
        <v>761</v>
      </c>
      <c r="G243" t="s">
        <v>195</v>
      </c>
      <c r="H243" t="s">
        <v>419</v>
      </c>
      <c r="I243" t="s">
        <v>750</v>
      </c>
      <c r="J243" t="s">
        <v>751</v>
      </c>
      <c r="K243" t="s">
        <v>762</v>
      </c>
      <c r="L243">
        <v>0.40650143500000002</v>
      </c>
      <c r="M243">
        <v>6.9328492910000001</v>
      </c>
      <c r="N243">
        <v>112.962564</v>
      </c>
      <c r="O243">
        <v>2.8633333329999999</v>
      </c>
      <c r="P243">
        <v>69.33</v>
      </c>
      <c r="Q243">
        <v>0.86459699999999995</v>
      </c>
      <c r="R243" t="s">
        <v>70</v>
      </c>
      <c r="S243" t="s">
        <v>77</v>
      </c>
      <c r="T243" t="str">
        <f t="shared" si="7"/>
        <v>reef</v>
      </c>
      <c r="U243" s="1">
        <v>0</v>
      </c>
      <c r="V243" s="1">
        <v>3.0000000352199989E-3</v>
      </c>
      <c r="W243" s="1">
        <v>0</v>
      </c>
      <c r="X243" s="3">
        <v>0.43199999539168016</v>
      </c>
      <c r="Y243" s="1">
        <v>0</v>
      </c>
      <c r="Z243" s="1">
        <v>0.54400000462655984</v>
      </c>
      <c r="AA243" s="1">
        <v>2.0999999946540004E-2</v>
      </c>
      <c r="AB243" s="1">
        <v>0</v>
      </c>
      <c r="AC243">
        <v>0</v>
      </c>
      <c r="AD243">
        <v>1</v>
      </c>
      <c r="AE243">
        <v>1</v>
      </c>
      <c r="AF243">
        <v>1</v>
      </c>
      <c r="AG243">
        <v>0</v>
      </c>
      <c r="AH243">
        <v>0</v>
      </c>
      <c r="AI243">
        <v>0</v>
      </c>
      <c r="AJ243">
        <v>0</v>
      </c>
      <c r="AK243">
        <v>0</v>
      </c>
      <c r="AL243">
        <v>0</v>
      </c>
      <c r="AM243">
        <v>1</v>
      </c>
      <c r="AN243">
        <v>1</v>
      </c>
      <c r="AO243">
        <v>0</v>
      </c>
      <c r="AP243">
        <v>0</v>
      </c>
      <c r="AQ243">
        <v>0</v>
      </c>
      <c r="AR243">
        <v>17</v>
      </c>
      <c r="AS243" t="s">
        <v>2586</v>
      </c>
    </row>
    <row r="244" spans="1:45" x14ac:dyDescent="0.25">
      <c r="A244">
        <v>49</v>
      </c>
      <c r="B244" t="str">
        <f>VLOOKUP(A244,'model groups'!$A$3:$C$86,2,FALSE)</f>
        <v>medium reef omnivores</v>
      </c>
      <c r="D244" t="s">
        <v>763</v>
      </c>
      <c r="E244" t="s">
        <v>764</v>
      </c>
      <c r="G244" t="s">
        <v>195</v>
      </c>
      <c r="H244" t="s">
        <v>419</v>
      </c>
      <c r="I244" t="s">
        <v>750</v>
      </c>
      <c r="J244" t="s">
        <v>751</v>
      </c>
      <c r="T244" t="str">
        <f t="shared" si="7"/>
        <v>reef</v>
      </c>
      <c r="U244" s="1"/>
      <c r="V244" s="1"/>
      <c r="W244" s="1"/>
      <c r="X244" s="1"/>
      <c r="Y244" s="1"/>
      <c r="Z244" s="1"/>
      <c r="AA244" s="1"/>
      <c r="AB244" s="1"/>
      <c r="AG244">
        <v>0</v>
      </c>
      <c r="AH244">
        <v>0</v>
      </c>
      <c r="AI244">
        <v>0</v>
      </c>
      <c r="AJ244">
        <v>0</v>
      </c>
      <c r="AK244">
        <v>1</v>
      </c>
      <c r="AL244">
        <v>0</v>
      </c>
      <c r="AM244">
        <v>0</v>
      </c>
      <c r="AN244">
        <v>0</v>
      </c>
      <c r="AO244">
        <v>0</v>
      </c>
      <c r="AP244">
        <v>0</v>
      </c>
      <c r="AQ244">
        <v>0</v>
      </c>
      <c r="AR244">
        <v>17</v>
      </c>
      <c r="AS244" t="s">
        <v>2586</v>
      </c>
    </row>
    <row r="245" spans="1:45" x14ac:dyDescent="0.25">
      <c r="A245">
        <v>49</v>
      </c>
      <c r="B245" t="str">
        <f>VLOOKUP(A245,'model groups'!$A$3:$C$86,2,FALSE)</f>
        <v>medium reef omnivores</v>
      </c>
      <c r="C245" t="s">
        <v>765</v>
      </c>
      <c r="D245" t="s">
        <v>766</v>
      </c>
      <c r="E245" t="s">
        <v>766</v>
      </c>
      <c r="G245" t="s">
        <v>241</v>
      </c>
      <c r="H245" t="s">
        <v>419</v>
      </c>
      <c r="I245" t="s">
        <v>750</v>
      </c>
      <c r="J245" t="s">
        <v>767</v>
      </c>
      <c r="AR245">
        <v>17</v>
      </c>
      <c r="AS245" t="s">
        <v>2586</v>
      </c>
    </row>
    <row r="246" spans="1:45" x14ac:dyDescent="0.25">
      <c r="A246">
        <v>49</v>
      </c>
      <c r="B246" t="str">
        <f>VLOOKUP(A246,'model groups'!$A$3:$C$86,2,FALSE)</f>
        <v>medium reef omnivores</v>
      </c>
      <c r="C246" t="s">
        <v>768</v>
      </c>
      <c r="D246" t="s">
        <v>769</v>
      </c>
      <c r="E246" t="s">
        <v>769</v>
      </c>
      <c r="G246" t="s">
        <v>195</v>
      </c>
      <c r="H246" t="s">
        <v>419</v>
      </c>
      <c r="I246" t="s">
        <v>770</v>
      </c>
      <c r="J246" t="s">
        <v>771</v>
      </c>
      <c r="K246" t="s">
        <v>772</v>
      </c>
      <c r="L246">
        <v>0.63085833700000005</v>
      </c>
      <c r="M246">
        <v>9.3164296039999996</v>
      </c>
      <c r="N246">
        <v>57.107207330000001</v>
      </c>
      <c r="O246">
        <v>3.1566666670000001</v>
      </c>
      <c r="P246">
        <v>31.74</v>
      </c>
      <c r="Q246">
        <v>1.3695900000000001</v>
      </c>
      <c r="R246" t="s">
        <v>70</v>
      </c>
      <c r="S246" t="s">
        <v>77</v>
      </c>
      <c r="T246" t="str">
        <f>IF(OR(AK246=1,AN246=1),"reef","no")</f>
        <v>reef</v>
      </c>
      <c r="U246" s="1">
        <v>0</v>
      </c>
      <c r="V246" s="1">
        <v>4.775238770132767E-2</v>
      </c>
      <c r="W246" s="1">
        <v>0.47292365044992885</v>
      </c>
      <c r="X246" s="1">
        <v>7.0853544708232949E-2</v>
      </c>
      <c r="Y246" s="1">
        <v>0</v>
      </c>
      <c r="Z246" s="1">
        <v>9.8854945196202734E-2</v>
      </c>
      <c r="AA246" s="1">
        <v>0.30876542944104868</v>
      </c>
      <c r="AB246" s="1">
        <v>8.5004250325921985E-4</v>
      </c>
      <c r="AC246">
        <v>0</v>
      </c>
      <c r="AD246">
        <v>0</v>
      </c>
      <c r="AE246">
        <v>1</v>
      </c>
      <c r="AF246">
        <v>1</v>
      </c>
      <c r="AG246">
        <v>1</v>
      </c>
      <c r="AH246">
        <v>0</v>
      </c>
      <c r="AI246">
        <v>0</v>
      </c>
      <c r="AJ246">
        <v>0</v>
      </c>
      <c r="AK246">
        <v>0</v>
      </c>
      <c r="AL246">
        <v>0</v>
      </c>
      <c r="AM246">
        <v>1</v>
      </c>
      <c r="AN246">
        <v>1</v>
      </c>
      <c r="AO246">
        <v>0</v>
      </c>
      <c r="AP246">
        <v>0</v>
      </c>
      <c r="AQ246">
        <v>0</v>
      </c>
      <c r="AR246">
        <v>17</v>
      </c>
      <c r="AS246" t="s">
        <v>2586</v>
      </c>
    </row>
    <row r="247" spans="1:45" x14ac:dyDescent="0.25">
      <c r="A247">
        <v>49</v>
      </c>
      <c r="B247" t="str">
        <f>VLOOKUP(A247,'model groups'!$A$3:$C$86,2,FALSE)</f>
        <v>medium reef omnivores</v>
      </c>
      <c r="D247" t="s">
        <v>773</v>
      </c>
      <c r="E247" t="s">
        <v>773</v>
      </c>
      <c r="G247" t="s">
        <v>241</v>
      </c>
      <c r="H247" t="s">
        <v>419</v>
      </c>
      <c r="I247" t="s">
        <v>770</v>
      </c>
      <c r="J247" t="s">
        <v>771</v>
      </c>
      <c r="K247" t="s">
        <v>774</v>
      </c>
      <c r="AR247">
        <v>17</v>
      </c>
      <c r="AS247" t="s">
        <v>2586</v>
      </c>
    </row>
    <row r="248" spans="1:45" x14ac:dyDescent="0.25">
      <c r="A248">
        <v>49</v>
      </c>
      <c r="B248" t="str">
        <f>VLOOKUP(A248,'model groups'!$A$3:$C$86,2,FALSE)</f>
        <v>medium reef omnivores</v>
      </c>
      <c r="C248" t="s">
        <v>775</v>
      </c>
      <c r="D248" t="s">
        <v>776</v>
      </c>
      <c r="E248" t="s">
        <v>776</v>
      </c>
      <c r="G248" t="s">
        <v>241</v>
      </c>
      <c r="H248" t="s">
        <v>419</v>
      </c>
      <c r="I248" t="s">
        <v>770</v>
      </c>
      <c r="J248" t="s">
        <v>777</v>
      </c>
      <c r="AR248">
        <v>17</v>
      </c>
      <c r="AS248" t="s">
        <v>2586</v>
      </c>
    </row>
    <row r="249" spans="1:45" x14ac:dyDescent="0.25">
      <c r="A249">
        <v>49</v>
      </c>
      <c r="B249" t="str">
        <f>VLOOKUP(A249,'model groups'!$A$3:$C$86,2,FALSE)</f>
        <v>medium reef omnivores</v>
      </c>
      <c r="C249" t="s">
        <v>778</v>
      </c>
      <c r="D249" t="s">
        <v>779</v>
      </c>
      <c r="E249" t="s">
        <v>779</v>
      </c>
      <c r="G249" t="s">
        <v>195</v>
      </c>
      <c r="H249" t="s">
        <v>196</v>
      </c>
      <c r="I249" t="s">
        <v>780</v>
      </c>
      <c r="J249" t="s">
        <v>781</v>
      </c>
      <c r="K249" t="s">
        <v>782</v>
      </c>
      <c r="L249">
        <v>0.67015785400000005</v>
      </c>
      <c r="M249">
        <v>8.2180432979999996</v>
      </c>
      <c r="N249">
        <v>51.994377290000003</v>
      </c>
      <c r="O249">
        <v>3.89</v>
      </c>
      <c r="P249">
        <v>24.62</v>
      </c>
      <c r="Q249">
        <v>2.04264</v>
      </c>
      <c r="R249" t="s">
        <v>70</v>
      </c>
      <c r="S249" t="s">
        <v>77</v>
      </c>
      <c r="T249" t="str">
        <f t="shared" ref="T249:T264" si="8">IF(OR(AK249=1,AN249=1),"reef","no")</f>
        <v>reef</v>
      </c>
      <c r="U249" s="1">
        <v>5.627041619947943E-2</v>
      </c>
      <c r="V249" s="1">
        <v>0.36839122474548797</v>
      </c>
      <c r="W249" s="1">
        <v>0.23814921228339725</v>
      </c>
      <c r="X249" s="1">
        <v>0</v>
      </c>
      <c r="Y249" s="1">
        <v>3.6802453760372916E-2</v>
      </c>
      <c r="Z249" s="1">
        <v>0</v>
      </c>
      <c r="AA249" s="1">
        <v>0.11434095848747938</v>
      </c>
      <c r="AB249" s="1">
        <v>0.18604573452378304</v>
      </c>
      <c r="AC249">
        <v>0</v>
      </c>
      <c r="AD249">
        <v>1</v>
      </c>
      <c r="AE249">
        <v>0</v>
      </c>
      <c r="AF249">
        <v>1</v>
      </c>
      <c r="AG249">
        <v>0</v>
      </c>
      <c r="AH249">
        <v>0</v>
      </c>
      <c r="AI249">
        <v>0</v>
      </c>
      <c r="AJ249">
        <v>0</v>
      </c>
      <c r="AK249">
        <v>0</v>
      </c>
      <c r="AL249">
        <v>0</v>
      </c>
      <c r="AM249">
        <v>1</v>
      </c>
      <c r="AN249">
        <v>1</v>
      </c>
      <c r="AO249">
        <v>0</v>
      </c>
      <c r="AP249">
        <v>0</v>
      </c>
      <c r="AQ249">
        <v>1</v>
      </c>
      <c r="AR249">
        <v>17</v>
      </c>
      <c r="AS249" t="s">
        <v>2586</v>
      </c>
    </row>
    <row r="250" spans="1:45" x14ac:dyDescent="0.25">
      <c r="A250">
        <v>49</v>
      </c>
      <c r="B250" t="str">
        <f>VLOOKUP(A250,'model groups'!$A$3:$C$86,2,FALSE)</f>
        <v>medium reef omnivores</v>
      </c>
      <c r="C250" t="s">
        <v>783</v>
      </c>
      <c r="D250" t="s">
        <v>784</v>
      </c>
      <c r="E250" t="s">
        <v>784</v>
      </c>
      <c r="G250" t="s">
        <v>195</v>
      </c>
      <c r="H250" t="s">
        <v>196</v>
      </c>
      <c r="I250" t="s">
        <v>780</v>
      </c>
      <c r="J250" t="s">
        <v>785</v>
      </c>
      <c r="K250" t="s">
        <v>786</v>
      </c>
      <c r="L250">
        <v>0.92649175900000003</v>
      </c>
      <c r="N250">
        <v>31.451041149999998</v>
      </c>
      <c r="P250">
        <v>20.48</v>
      </c>
      <c r="Q250">
        <v>1.25797</v>
      </c>
      <c r="R250" t="s">
        <v>70</v>
      </c>
      <c r="S250" t="s">
        <v>77</v>
      </c>
      <c r="T250" t="str">
        <f t="shared" si="8"/>
        <v>reef</v>
      </c>
      <c r="U250" s="1"/>
      <c r="V250" s="1"/>
      <c r="W250" s="1"/>
      <c r="X250" s="1"/>
      <c r="Y250" s="1"/>
      <c r="Z250" s="1"/>
      <c r="AA250" s="1"/>
      <c r="AB250" s="1"/>
      <c r="AG250">
        <v>1</v>
      </c>
      <c r="AH250">
        <v>0</v>
      </c>
      <c r="AI250">
        <v>0</v>
      </c>
      <c r="AJ250">
        <v>0</v>
      </c>
      <c r="AK250">
        <v>1</v>
      </c>
      <c r="AL250">
        <v>0</v>
      </c>
      <c r="AM250">
        <v>1</v>
      </c>
      <c r="AN250">
        <v>1</v>
      </c>
      <c r="AO250">
        <v>0</v>
      </c>
      <c r="AP250">
        <v>0</v>
      </c>
      <c r="AQ250">
        <v>0</v>
      </c>
      <c r="AR250">
        <v>17</v>
      </c>
      <c r="AS250" t="s">
        <v>2586</v>
      </c>
    </row>
    <row r="251" spans="1:45" x14ac:dyDescent="0.25">
      <c r="A251">
        <v>49</v>
      </c>
      <c r="B251" t="str">
        <f>VLOOKUP(A251,'model groups'!$A$3:$C$86,2,FALSE)</f>
        <v>medium reef omnivores</v>
      </c>
      <c r="C251" t="s">
        <v>787</v>
      </c>
      <c r="D251" t="s">
        <v>788</v>
      </c>
      <c r="E251" t="s">
        <v>788</v>
      </c>
      <c r="G251" t="s">
        <v>195</v>
      </c>
      <c r="H251" t="s">
        <v>196</v>
      </c>
      <c r="I251" t="s">
        <v>428</v>
      </c>
      <c r="J251" t="s">
        <v>789</v>
      </c>
      <c r="K251" t="s">
        <v>790</v>
      </c>
      <c r="L251">
        <v>0.75966798899999999</v>
      </c>
      <c r="M251">
        <v>11.850442385000001</v>
      </c>
      <c r="N251">
        <v>45.466666670000002</v>
      </c>
      <c r="O251">
        <v>3.53</v>
      </c>
      <c r="P251">
        <v>36.43</v>
      </c>
      <c r="Q251">
        <v>1.4406600000000001</v>
      </c>
      <c r="R251" t="s">
        <v>50</v>
      </c>
      <c r="S251" t="s">
        <v>77</v>
      </c>
      <c r="T251" t="str">
        <f t="shared" si="8"/>
        <v>reef</v>
      </c>
      <c r="U251" s="1">
        <v>0</v>
      </c>
      <c r="V251" s="1">
        <v>2.5000001194500011E-2</v>
      </c>
      <c r="W251" s="1">
        <v>0</v>
      </c>
      <c r="X251" s="3">
        <v>0.64249999626964993</v>
      </c>
      <c r="Y251" s="1">
        <v>0</v>
      </c>
      <c r="Z251" s="1">
        <v>0</v>
      </c>
      <c r="AA251" s="1">
        <v>0.30520000210069598</v>
      </c>
      <c r="AB251" s="1">
        <v>2.7300000435154004E-2</v>
      </c>
      <c r="AC251">
        <v>0</v>
      </c>
      <c r="AD251">
        <v>1</v>
      </c>
      <c r="AE251">
        <v>1</v>
      </c>
      <c r="AF251">
        <v>1</v>
      </c>
      <c r="AG251">
        <v>0</v>
      </c>
      <c r="AH251">
        <v>0</v>
      </c>
      <c r="AI251">
        <v>0</v>
      </c>
      <c r="AJ251">
        <v>0</v>
      </c>
      <c r="AK251">
        <v>1</v>
      </c>
      <c r="AL251">
        <v>1</v>
      </c>
      <c r="AM251">
        <v>1</v>
      </c>
      <c r="AN251">
        <v>1</v>
      </c>
      <c r="AO251">
        <v>1</v>
      </c>
      <c r="AP251">
        <v>0</v>
      </c>
      <c r="AQ251">
        <v>1</v>
      </c>
      <c r="AR251">
        <v>17</v>
      </c>
      <c r="AS251" t="s">
        <v>2586</v>
      </c>
    </row>
    <row r="252" spans="1:45" x14ac:dyDescent="0.25">
      <c r="A252">
        <v>49</v>
      </c>
      <c r="B252" t="str">
        <f>VLOOKUP(A252,'model groups'!$A$3:$C$86,2,FALSE)</f>
        <v>medium reef omnivores</v>
      </c>
      <c r="C252" t="s">
        <v>791</v>
      </c>
      <c r="D252" t="s">
        <v>792</v>
      </c>
      <c r="E252" t="s">
        <v>792</v>
      </c>
      <c r="G252" t="s">
        <v>195</v>
      </c>
      <c r="H252" t="s">
        <v>419</v>
      </c>
      <c r="I252" t="s">
        <v>723</v>
      </c>
      <c r="J252" t="s">
        <v>728</v>
      </c>
      <c r="K252" t="s">
        <v>793</v>
      </c>
      <c r="L252">
        <v>0.92649175900000003</v>
      </c>
      <c r="M252">
        <v>16.150952889999999</v>
      </c>
      <c r="N252">
        <v>31.451041149999998</v>
      </c>
      <c r="O252">
        <v>2.9649999999999999</v>
      </c>
      <c r="P252">
        <v>24.86</v>
      </c>
      <c r="Q252">
        <v>1.697195</v>
      </c>
      <c r="R252" t="s">
        <v>50</v>
      </c>
      <c r="S252" t="s">
        <v>77</v>
      </c>
      <c r="T252" t="str">
        <f t="shared" si="8"/>
        <v>no</v>
      </c>
      <c r="U252" s="1">
        <v>9.0546601396476831E-3</v>
      </c>
      <c r="V252" s="1">
        <v>0.15459378431325851</v>
      </c>
      <c r="W252" s="1">
        <v>0.58664229796678913</v>
      </c>
      <c r="X252" s="1">
        <v>0.11483081636562212</v>
      </c>
      <c r="Y252" s="1">
        <v>0</v>
      </c>
      <c r="Z252" s="1">
        <v>0</v>
      </c>
      <c r="AA252" s="1">
        <v>0.13487844121468259</v>
      </c>
      <c r="AB252" s="1">
        <v>0</v>
      </c>
      <c r="AC252">
        <v>0</v>
      </c>
      <c r="AD252">
        <v>0</v>
      </c>
      <c r="AE252">
        <v>0</v>
      </c>
      <c r="AF252">
        <v>0</v>
      </c>
      <c r="AG252">
        <v>1</v>
      </c>
      <c r="AH252">
        <v>0</v>
      </c>
      <c r="AI252">
        <v>0</v>
      </c>
      <c r="AJ252">
        <v>0</v>
      </c>
      <c r="AK252">
        <v>0</v>
      </c>
      <c r="AL252">
        <v>1</v>
      </c>
      <c r="AM252">
        <v>1</v>
      </c>
      <c r="AN252">
        <v>0</v>
      </c>
      <c r="AO252">
        <v>1</v>
      </c>
      <c r="AP252">
        <v>0</v>
      </c>
      <c r="AQ252">
        <v>0</v>
      </c>
      <c r="AR252">
        <v>17</v>
      </c>
      <c r="AS252" t="s">
        <v>2586</v>
      </c>
    </row>
    <row r="253" spans="1:45" x14ac:dyDescent="0.25">
      <c r="A253">
        <v>50</v>
      </c>
      <c r="B253" t="str">
        <f>VLOOKUP(A253,'model groups'!$A$3:$C$86,2,FALSE)</f>
        <v>small reef omnivores</v>
      </c>
      <c r="C253" t="s">
        <v>794</v>
      </c>
      <c r="D253" t="s">
        <v>795</v>
      </c>
      <c r="E253" t="s">
        <v>795</v>
      </c>
      <c r="G253" t="s">
        <v>195</v>
      </c>
      <c r="H253" t="s">
        <v>196</v>
      </c>
      <c r="I253" t="s">
        <v>796</v>
      </c>
      <c r="J253" t="s">
        <v>797</v>
      </c>
      <c r="K253" t="s">
        <v>798</v>
      </c>
      <c r="L253">
        <v>2.0611770859999998</v>
      </c>
      <c r="N253">
        <v>9.0916176859999993</v>
      </c>
      <c r="O253">
        <v>2.46</v>
      </c>
      <c r="P253">
        <v>17.13</v>
      </c>
      <c r="Q253">
        <v>1.0320423329999999</v>
      </c>
      <c r="R253" t="s">
        <v>70</v>
      </c>
      <c r="S253" t="s">
        <v>77</v>
      </c>
      <c r="T253" t="str">
        <f t="shared" si="8"/>
        <v>reef</v>
      </c>
      <c r="U253" s="1"/>
      <c r="V253" s="1"/>
      <c r="W253" s="1"/>
      <c r="X253" s="1"/>
      <c r="Y253" s="1"/>
      <c r="Z253" s="1"/>
      <c r="AA253" s="1"/>
      <c r="AB253" s="1"/>
      <c r="AC253">
        <v>0</v>
      </c>
      <c r="AD253">
        <v>1</v>
      </c>
      <c r="AE253">
        <v>0</v>
      </c>
      <c r="AF253">
        <v>1</v>
      </c>
      <c r="AG253">
        <v>0</v>
      </c>
      <c r="AH253">
        <v>0</v>
      </c>
      <c r="AI253">
        <v>0</v>
      </c>
      <c r="AJ253">
        <v>0</v>
      </c>
      <c r="AK253">
        <v>0</v>
      </c>
      <c r="AL253">
        <v>0</v>
      </c>
      <c r="AM253">
        <v>0</v>
      </c>
      <c r="AN253">
        <v>1</v>
      </c>
      <c r="AO253">
        <v>0</v>
      </c>
      <c r="AP253">
        <v>0</v>
      </c>
      <c r="AQ253">
        <v>0</v>
      </c>
      <c r="AR253">
        <v>17</v>
      </c>
      <c r="AS253" t="s">
        <v>2586</v>
      </c>
    </row>
    <row r="254" spans="1:45" x14ac:dyDescent="0.25">
      <c r="A254">
        <v>50</v>
      </c>
      <c r="B254" t="str">
        <f>VLOOKUP(A254,'model groups'!$A$3:$C$86,2,FALSE)</f>
        <v>small reef omnivores</v>
      </c>
      <c r="D254" t="s">
        <v>799</v>
      </c>
      <c r="E254" t="s">
        <v>799</v>
      </c>
      <c r="G254" t="s">
        <v>195</v>
      </c>
      <c r="H254" t="s">
        <v>196</v>
      </c>
      <c r="I254" t="s">
        <v>796</v>
      </c>
      <c r="T254" t="str">
        <f t="shared" si="8"/>
        <v>reef</v>
      </c>
      <c r="U254" s="1"/>
      <c r="V254" s="1"/>
      <c r="W254" s="1"/>
      <c r="X254" s="1"/>
      <c r="Y254" s="1"/>
      <c r="Z254" s="1"/>
      <c r="AA254" s="1"/>
      <c r="AB254" s="1"/>
      <c r="AG254">
        <v>0</v>
      </c>
      <c r="AH254">
        <v>0</v>
      </c>
      <c r="AI254">
        <v>0</v>
      </c>
      <c r="AJ254">
        <v>0</v>
      </c>
      <c r="AK254">
        <v>0</v>
      </c>
      <c r="AL254">
        <v>0</v>
      </c>
      <c r="AM254">
        <v>0</v>
      </c>
      <c r="AN254">
        <v>1</v>
      </c>
      <c r="AO254">
        <v>0</v>
      </c>
      <c r="AP254">
        <v>0</v>
      </c>
      <c r="AQ254">
        <v>0</v>
      </c>
      <c r="AR254">
        <v>17</v>
      </c>
      <c r="AS254" t="s">
        <v>2586</v>
      </c>
    </row>
    <row r="255" spans="1:45" x14ac:dyDescent="0.25">
      <c r="A255">
        <v>50</v>
      </c>
      <c r="B255" t="str">
        <f>VLOOKUP(A255,'model groups'!$A$3:$C$86,2,FALSE)</f>
        <v>small reef omnivores</v>
      </c>
      <c r="D255" t="s">
        <v>800</v>
      </c>
      <c r="E255" t="s">
        <v>801</v>
      </c>
      <c r="G255" t="s">
        <v>195</v>
      </c>
      <c r="H255" t="s">
        <v>802</v>
      </c>
      <c r="I255" t="s">
        <v>803</v>
      </c>
      <c r="J255" t="s">
        <v>804</v>
      </c>
      <c r="T255" t="str">
        <f t="shared" si="8"/>
        <v>reef</v>
      </c>
      <c r="U255" s="1"/>
      <c r="V255" s="1"/>
      <c r="W255" s="1"/>
      <c r="X255" s="1"/>
      <c r="Y255" s="1"/>
      <c r="Z255" s="1"/>
      <c r="AA255" s="1"/>
      <c r="AB255" s="1"/>
      <c r="AG255">
        <v>0</v>
      </c>
      <c r="AH255">
        <v>0</v>
      </c>
      <c r="AI255">
        <v>0</v>
      </c>
      <c r="AJ255">
        <v>0</v>
      </c>
      <c r="AK255">
        <v>1</v>
      </c>
      <c r="AL255">
        <v>0</v>
      </c>
      <c r="AM255">
        <v>0</v>
      </c>
      <c r="AN255">
        <v>0</v>
      </c>
      <c r="AO255">
        <v>0</v>
      </c>
      <c r="AP255">
        <v>0</v>
      </c>
      <c r="AQ255">
        <v>0</v>
      </c>
      <c r="AR255">
        <v>17</v>
      </c>
      <c r="AS255" t="s">
        <v>2586</v>
      </c>
    </row>
    <row r="256" spans="1:45" x14ac:dyDescent="0.25">
      <c r="A256">
        <v>50</v>
      </c>
      <c r="B256" t="str">
        <f>VLOOKUP(A256,'model groups'!$A$3:$C$86,2,FALSE)</f>
        <v>small reef omnivores</v>
      </c>
      <c r="D256" t="s">
        <v>805</v>
      </c>
      <c r="E256" t="s">
        <v>805</v>
      </c>
      <c r="G256" t="s">
        <v>195</v>
      </c>
      <c r="H256" t="s">
        <v>196</v>
      </c>
      <c r="I256" t="s">
        <v>803</v>
      </c>
      <c r="T256" t="str">
        <f t="shared" si="8"/>
        <v>reef</v>
      </c>
      <c r="U256" s="1"/>
      <c r="V256" s="1"/>
      <c r="W256" s="1"/>
      <c r="X256" s="1"/>
      <c r="Y256" s="1"/>
      <c r="Z256" s="1"/>
      <c r="AA256" s="1"/>
      <c r="AB256" s="1"/>
      <c r="AG256">
        <v>0</v>
      </c>
      <c r="AH256">
        <v>0</v>
      </c>
      <c r="AI256">
        <v>0</v>
      </c>
      <c r="AJ256">
        <v>0</v>
      </c>
      <c r="AK256">
        <v>0</v>
      </c>
      <c r="AL256">
        <v>0</v>
      </c>
      <c r="AM256">
        <v>0</v>
      </c>
      <c r="AN256">
        <v>1</v>
      </c>
      <c r="AO256">
        <v>0</v>
      </c>
      <c r="AP256">
        <v>0</v>
      </c>
      <c r="AQ256">
        <v>0</v>
      </c>
      <c r="AR256">
        <v>17</v>
      </c>
      <c r="AS256" t="s">
        <v>2586</v>
      </c>
    </row>
    <row r="257" spans="1:45" x14ac:dyDescent="0.25">
      <c r="A257">
        <v>50</v>
      </c>
      <c r="B257" t="str">
        <f>VLOOKUP(A257,'model groups'!$A$3:$C$86,2,FALSE)</f>
        <v>small reef omnivores</v>
      </c>
      <c r="C257" t="s">
        <v>806</v>
      </c>
      <c r="D257" t="s">
        <v>807</v>
      </c>
      <c r="E257" t="s">
        <v>807</v>
      </c>
      <c r="G257" t="s">
        <v>195</v>
      </c>
      <c r="H257" t="s">
        <v>419</v>
      </c>
      <c r="I257" t="s">
        <v>750</v>
      </c>
      <c r="J257" t="s">
        <v>808</v>
      </c>
      <c r="K257" t="s">
        <v>809</v>
      </c>
      <c r="L257">
        <v>1.1981004040000001</v>
      </c>
      <c r="M257">
        <v>15.433012034999999</v>
      </c>
      <c r="N257">
        <v>21.10297181</v>
      </c>
      <c r="O257">
        <v>2.8733333619999999</v>
      </c>
      <c r="P257">
        <v>27.34</v>
      </c>
      <c r="Q257">
        <v>1.45086</v>
      </c>
      <c r="R257" t="s">
        <v>70</v>
      </c>
      <c r="S257" t="s">
        <v>77</v>
      </c>
      <c r="T257" t="str">
        <f t="shared" si="8"/>
        <v>no</v>
      </c>
      <c r="U257" s="1">
        <v>0</v>
      </c>
      <c r="V257" s="1">
        <v>0.17366946347188739</v>
      </c>
      <c r="W257" s="1">
        <v>0</v>
      </c>
      <c r="X257" s="1">
        <v>0.37444978104281129</v>
      </c>
      <c r="Y257" s="1">
        <v>0</v>
      </c>
      <c r="Z257" s="1">
        <v>0</v>
      </c>
      <c r="AA257" s="1">
        <v>8.1732693407449014E-2</v>
      </c>
      <c r="AB257" s="1">
        <v>0.37014806207785234</v>
      </c>
      <c r="AC257">
        <v>0</v>
      </c>
      <c r="AD257">
        <v>0</v>
      </c>
      <c r="AE257">
        <v>0</v>
      </c>
      <c r="AF257">
        <v>0</v>
      </c>
      <c r="AG257">
        <v>1</v>
      </c>
      <c r="AH257">
        <v>0</v>
      </c>
      <c r="AI257">
        <v>0</v>
      </c>
      <c r="AJ257">
        <v>0</v>
      </c>
      <c r="AK257">
        <v>0</v>
      </c>
      <c r="AL257">
        <v>0</v>
      </c>
      <c r="AM257">
        <v>1</v>
      </c>
      <c r="AN257">
        <v>0</v>
      </c>
      <c r="AO257">
        <v>0</v>
      </c>
      <c r="AP257">
        <v>0</v>
      </c>
      <c r="AQ257">
        <v>0</v>
      </c>
      <c r="AR257">
        <v>17</v>
      </c>
      <c r="AS257" t="s">
        <v>2586</v>
      </c>
    </row>
    <row r="258" spans="1:45" x14ac:dyDescent="0.25">
      <c r="A258">
        <v>50</v>
      </c>
      <c r="B258" t="str">
        <f>VLOOKUP(A258,'model groups'!$A$3:$C$86,2,FALSE)</f>
        <v>small reef omnivores</v>
      </c>
      <c r="C258" t="s">
        <v>810</v>
      </c>
      <c r="D258" t="s">
        <v>811</v>
      </c>
      <c r="E258" t="s">
        <v>811</v>
      </c>
      <c r="G258" t="s">
        <v>195</v>
      </c>
      <c r="H258" t="s">
        <v>419</v>
      </c>
      <c r="I258" t="s">
        <v>750</v>
      </c>
      <c r="J258" t="s">
        <v>812</v>
      </c>
      <c r="K258" t="s">
        <v>813</v>
      </c>
      <c r="L258">
        <v>0.97904264799999996</v>
      </c>
      <c r="M258">
        <v>13.534045470000001</v>
      </c>
      <c r="N258">
        <v>28.870034579999999</v>
      </c>
      <c r="O258">
        <v>2.5299999999999998</v>
      </c>
      <c r="P258">
        <v>29.59</v>
      </c>
      <c r="Q258">
        <v>1.2654300000000001</v>
      </c>
      <c r="R258" t="s">
        <v>70</v>
      </c>
      <c r="S258" t="s">
        <v>77</v>
      </c>
      <c r="T258" t="str">
        <f t="shared" si="8"/>
        <v>no</v>
      </c>
      <c r="U258" s="1">
        <v>0</v>
      </c>
      <c r="V258" s="1">
        <v>2.7798610433579625E-2</v>
      </c>
      <c r="W258" s="1">
        <v>0.49287535792946074</v>
      </c>
      <c r="X258" s="1">
        <v>6.9446531027525502E-2</v>
      </c>
      <c r="Y258" s="1">
        <v>0</v>
      </c>
      <c r="Z258" s="1">
        <v>0</v>
      </c>
      <c r="AA258" s="1">
        <v>0.40987950060943418</v>
      </c>
      <c r="AB258" s="1">
        <v>0</v>
      </c>
      <c r="AC258">
        <v>1</v>
      </c>
      <c r="AD258">
        <v>0</v>
      </c>
      <c r="AE258">
        <v>1</v>
      </c>
      <c r="AF258">
        <v>0</v>
      </c>
      <c r="AG258">
        <v>1</v>
      </c>
      <c r="AH258">
        <v>0</v>
      </c>
      <c r="AI258">
        <v>0</v>
      </c>
      <c r="AJ258">
        <v>0</v>
      </c>
      <c r="AK258">
        <v>0</v>
      </c>
      <c r="AL258">
        <v>0</v>
      </c>
      <c r="AM258">
        <v>0</v>
      </c>
      <c r="AN258">
        <v>0</v>
      </c>
      <c r="AO258">
        <v>0</v>
      </c>
      <c r="AP258">
        <v>0</v>
      </c>
      <c r="AQ258">
        <v>0</v>
      </c>
      <c r="AR258">
        <v>17</v>
      </c>
      <c r="AS258" t="s">
        <v>2586</v>
      </c>
    </row>
    <row r="259" spans="1:45" x14ac:dyDescent="0.25">
      <c r="A259">
        <v>50</v>
      </c>
      <c r="B259" t="str">
        <f>VLOOKUP(A259,'model groups'!$A$3:$C$86,2,FALSE)</f>
        <v>small reef omnivores</v>
      </c>
      <c r="C259" t="s">
        <v>810</v>
      </c>
      <c r="D259" t="s">
        <v>814</v>
      </c>
      <c r="E259" t="s">
        <v>814</v>
      </c>
      <c r="G259" t="s">
        <v>195</v>
      </c>
      <c r="H259" t="s">
        <v>419</v>
      </c>
      <c r="I259" t="s">
        <v>750</v>
      </c>
      <c r="J259" t="s">
        <v>812</v>
      </c>
      <c r="K259" t="s">
        <v>813</v>
      </c>
      <c r="L259">
        <v>0.97904264799999996</v>
      </c>
      <c r="M259">
        <v>13.534045470000001</v>
      </c>
      <c r="N259">
        <v>28.870034579999999</v>
      </c>
      <c r="O259">
        <v>2.5299999999999998</v>
      </c>
      <c r="P259">
        <v>29.59</v>
      </c>
      <c r="Q259">
        <v>1.2654300000000001</v>
      </c>
      <c r="R259" t="s">
        <v>70</v>
      </c>
      <c r="S259" t="s">
        <v>77</v>
      </c>
      <c r="T259" t="str">
        <f t="shared" si="8"/>
        <v>reef</v>
      </c>
      <c r="U259" s="1">
        <v>0</v>
      </c>
      <c r="V259" s="1">
        <v>2.7798610433579625E-2</v>
      </c>
      <c r="W259" s="1">
        <v>0.49287535792946074</v>
      </c>
      <c r="X259" s="1">
        <v>6.9446531027525502E-2</v>
      </c>
      <c r="Y259" s="1">
        <v>0</v>
      </c>
      <c r="Z259" s="1">
        <v>0</v>
      </c>
      <c r="AA259" s="1">
        <v>0.40987950060943418</v>
      </c>
      <c r="AB259" s="1">
        <v>0</v>
      </c>
      <c r="AC259">
        <v>1</v>
      </c>
      <c r="AD259">
        <v>0</v>
      </c>
      <c r="AE259">
        <v>1</v>
      </c>
      <c r="AF259">
        <v>0</v>
      </c>
      <c r="AG259">
        <v>0</v>
      </c>
      <c r="AH259">
        <v>0</v>
      </c>
      <c r="AI259">
        <v>0</v>
      </c>
      <c r="AJ259">
        <v>0</v>
      </c>
      <c r="AK259">
        <v>0</v>
      </c>
      <c r="AL259">
        <v>0</v>
      </c>
      <c r="AM259">
        <v>1</v>
      </c>
      <c r="AN259">
        <v>1</v>
      </c>
      <c r="AO259">
        <v>0</v>
      </c>
      <c r="AP259">
        <v>0</v>
      </c>
      <c r="AQ259">
        <v>0</v>
      </c>
      <c r="AR259">
        <v>17</v>
      </c>
      <c r="AS259" t="s">
        <v>2586</v>
      </c>
    </row>
    <row r="260" spans="1:45" x14ac:dyDescent="0.25">
      <c r="A260">
        <v>50</v>
      </c>
      <c r="B260" t="str">
        <f>VLOOKUP(A260,'model groups'!$A$3:$C$86,2,FALSE)</f>
        <v>small reef omnivores</v>
      </c>
      <c r="C260" t="s">
        <v>810</v>
      </c>
      <c r="D260" t="s">
        <v>814</v>
      </c>
      <c r="E260" t="s">
        <v>815</v>
      </c>
      <c r="G260" t="s">
        <v>195</v>
      </c>
      <c r="H260" t="s">
        <v>419</v>
      </c>
      <c r="I260" t="s">
        <v>750</v>
      </c>
      <c r="J260" t="s">
        <v>812</v>
      </c>
      <c r="K260" t="s">
        <v>813</v>
      </c>
      <c r="L260">
        <v>0.97904264799999996</v>
      </c>
      <c r="M260">
        <v>13.534045470000001</v>
      </c>
      <c r="N260">
        <v>28.870034579999999</v>
      </c>
      <c r="O260">
        <v>2.5299999999999998</v>
      </c>
      <c r="P260">
        <v>29.59</v>
      </c>
      <c r="Q260">
        <v>1.2654300000000001</v>
      </c>
      <c r="R260" t="s">
        <v>70</v>
      </c>
      <c r="S260" t="s">
        <v>77</v>
      </c>
      <c r="T260" t="str">
        <f t="shared" si="8"/>
        <v>no</v>
      </c>
      <c r="U260" s="1">
        <v>0</v>
      </c>
      <c r="V260" s="1">
        <v>2.7798610433579625E-2</v>
      </c>
      <c r="W260" s="1">
        <v>0.49287535792946074</v>
      </c>
      <c r="X260" s="1">
        <v>6.9446531027525502E-2</v>
      </c>
      <c r="Y260" s="1">
        <v>0</v>
      </c>
      <c r="Z260" s="1">
        <v>0</v>
      </c>
      <c r="AA260" s="1">
        <v>0.40987950060943418</v>
      </c>
      <c r="AB260" s="1">
        <v>0</v>
      </c>
      <c r="AC260">
        <v>1</v>
      </c>
      <c r="AD260">
        <v>0</v>
      </c>
      <c r="AE260">
        <v>1</v>
      </c>
      <c r="AF260">
        <v>0</v>
      </c>
      <c r="AG260">
        <v>1</v>
      </c>
      <c r="AH260">
        <v>0</v>
      </c>
      <c r="AI260">
        <v>0</v>
      </c>
      <c r="AJ260">
        <v>0</v>
      </c>
      <c r="AK260">
        <v>0</v>
      </c>
      <c r="AL260">
        <v>0</v>
      </c>
      <c r="AM260">
        <v>0</v>
      </c>
      <c r="AN260">
        <v>0</v>
      </c>
      <c r="AO260">
        <v>0</v>
      </c>
      <c r="AP260">
        <v>0</v>
      </c>
      <c r="AQ260">
        <v>0</v>
      </c>
      <c r="AR260">
        <v>17</v>
      </c>
      <c r="AS260" t="s">
        <v>2586</v>
      </c>
    </row>
    <row r="261" spans="1:45" x14ac:dyDescent="0.25">
      <c r="A261">
        <v>50</v>
      </c>
      <c r="B261" t="str">
        <f>VLOOKUP(A261,'model groups'!$A$3:$C$86,2,FALSE)</f>
        <v>small reef omnivores</v>
      </c>
      <c r="C261" t="s">
        <v>810</v>
      </c>
      <c r="D261" t="s">
        <v>815</v>
      </c>
      <c r="E261" t="s">
        <v>815</v>
      </c>
      <c r="G261" t="s">
        <v>195</v>
      </c>
      <c r="H261" t="s">
        <v>419</v>
      </c>
      <c r="I261" t="s">
        <v>750</v>
      </c>
      <c r="J261" t="s">
        <v>812</v>
      </c>
      <c r="K261" t="s">
        <v>813</v>
      </c>
      <c r="L261">
        <v>0.97904264799999996</v>
      </c>
      <c r="M261">
        <v>13.534045470000001</v>
      </c>
      <c r="N261">
        <v>28.870034579999999</v>
      </c>
      <c r="O261">
        <v>2.5299999999999998</v>
      </c>
      <c r="P261">
        <v>29.59</v>
      </c>
      <c r="Q261">
        <v>1.2654300000000001</v>
      </c>
      <c r="R261" t="s">
        <v>70</v>
      </c>
      <c r="S261" t="s">
        <v>77</v>
      </c>
      <c r="T261" t="str">
        <f t="shared" si="8"/>
        <v>no</v>
      </c>
      <c r="U261" s="1">
        <v>0</v>
      </c>
      <c r="V261" s="1">
        <v>2.7798610433579625E-2</v>
      </c>
      <c r="W261" s="1">
        <v>0.49287535792946074</v>
      </c>
      <c r="X261" s="1">
        <v>6.9446531027525502E-2</v>
      </c>
      <c r="Y261" s="1">
        <v>0</v>
      </c>
      <c r="Z261" s="1">
        <v>0</v>
      </c>
      <c r="AA261" s="1">
        <v>0.40987950060943418</v>
      </c>
      <c r="AB261" s="1">
        <v>0</v>
      </c>
      <c r="AC261">
        <v>1</v>
      </c>
      <c r="AD261">
        <v>0</v>
      </c>
      <c r="AE261">
        <v>1</v>
      </c>
      <c r="AF261">
        <v>0</v>
      </c>
      <c r="AG261">
        <v>1</v>
      </c>
      <c r="AH261">
        <v>0</v>
      </c>
      <c r="AI261">
        <v>0</v>
      </c>
      <c r="AJ261">
        <v>0</v>
      </c>
      <c r="AK261">
        <v>0</v>
      </c>
      <c r="AL261">
        <v>0</v>
      </c>
      <c r="AM261">
        <v>0</v>
      </c>
      <c r="AN261">
        <v>0</v>
      </c>
      <c r="AO261">
        <v>0</v>
      </c>
      <c r="AP261">
        <v>0</v>
      </c>
      <c r="AQ261">
        <v>0</v>
      </c>
      <c r="AR261">
        <v>17</v>
      </c>
      <c r="AS261" t="s">
        <v>2586</v>
      </c>
    </row>
    <row r="262" spans="1:45" x14ac:dyDescent="0.25">
      <c r="A262">
        <v>50</v>
      </c>
      <c r="B262" t="str">
        <f>VLOOKUP(A262,'model groups'!$A$3:$C$86,2,FALSE)</f>
        <v>small reef omnivores</v>
      </c>
      <c r="C262" t="s">
        <v>816</v>
      </c>
      <c r="D262" t="s">
        <v>817</v>
      </c>
      <c r="E262" t="s">
        <v>817</v>
      </c>
      <c r="G262" t="s">
        <v>195</v>
      </c>
      <c r="H262" t="s">
        <v>419</v>
      </c>
      <c r="I262" t="s">
        <v>750</v>
      </c>
      <c r="J262" t="s">
        <v>812</v>
      </c>
      <c r="K262" t="s">
        <v>818</v>
      </c>
      <c r="L262">
        <v>1.1981004040000001</v>
      </c>
      <c r="M262">
        <v>13.970999035</v>
      </c>
      <c r="N262">
        <v>21.10297181</v>
      </c>
      <c r="O262">
        <v>2.85</v>
      </c>
      <c r="P262">
        <v>27.34</v>
      </c>
      <c r="Q262">
        <v>0.80884999999999996</v>
      </c>
      <c r="R262" t="s">
        <v>70</v>
      </c>
      <c r="S262" t="s">
        <v>77</v>
      </c>
      <c r="T262" t="str">
        <f t="shared" si="8"/>
        <v>reef</v>
      </c>
      <c r="U262" s="1">
        <v>0</v>
      </c>
      <c r="V262" s="1">
        <v>2.7798610433579625E-2</v>
      </c>
      <c r="W262" s="1">
        <v>0.49287535792946074</v>
      </c>
      <c r="X262" s="1">
        <v>6.9446531027525502E-2</v>
      </c>
      <c r="Y262" s="1">
        <v>0</v>
      </c>
      <c r="Z262" s="1">
        <v>0</v>
      </c>
      <c r="AA262" s="1">
        <v>0.40987950060943418</v>
      </c>
      <c r="AB262" s="1">
        <v>0</v>
      </c>
      <c r="AC262">
        <v>0</v>
      </c>
      <c r="AD262">
        <v>0</v>
      </c>
      <c r="AE262">
        <v>0</v>
      </c>
      <c r="AF262">
        <v>1</v>
      </c>
      <c r="AG262">
        <v>0</v>
      </c>
      <c r="AH262">
        <v>0</v>
      </c>
      <c r="AI262">
        <v>0</v>
      </c>
      <c r="AJ262">
        <v>0</v>
      </c>
      <c r="AK262">
        <v>0</v>
      </c>
      <c r="AL262">
        <v>0</v>
      </c>
      <c r="AM262">
        <v>0</v>
      </c>
      <c r="AN262">
        <v>1</v>
      </c>
      <c r="AO262">
        <v>0</v>
      </c>
      <c r="AP262">
        <v>0</v>
      </c>
      <c r="AQ262">
        <v>0</v>
      </c>
      <c r="AR262">
        <v>17</v>
      </c>
      <c r="AS262" t="s">
        <v>2586</v>
      </c>
    </row>
    <row r="263" spans="1:45" x14ac:dyDescent="0.25">
      <c r="A263">
        <v>50</v>
      </c>
      <c r="B263" t="str">
        <f>VLOOKUP(A263,'model groups'!$A$3:$C$86,2,FALSE)</f>
        <v>small reef omnivores</v>
      </c>
      <c r="D263" t="s">
        <v>819</v>
      </c>
      <c r="E263" t="s">
        <v>820</v>
      </c>
      <c r="G263" t="s">
        <v>195</v>
      </c>
      <c r="H263" t="s">
        <v>419</v>
      </c>
      <c r="I263" t="s">
        <v>750</v>
      </c>
      <c r="J263" t="s">
        <v>812</v>
      </c>
      <c r="T263" t="str">
        <f t="shared" si="8"/>
        <v>reef</v>
      </c>
      <c r="U263" s="1"/>
      <c r="V263" s="1"/>
      <c r="W263" s="1"/>
      <c r="X263" s="1"/>
      <c r="Y263" s="1"/>
      <c r="Z263" s="1"/>
      <c r="AA263" s="1"/>
      <c r="AB263" s="1"/>
      <c r="AG263">
        <v>0</v>
      </c>
      <c r="AH263">
        <v>0</v>
      </c>
      <c r="AI263">
        <v>0</v>
      </c>
      <c r="AJ263">
        <v>0</v>
      </c>
      <c r="AK263">
        <v>1</v>
      </c>
      <c r="AL263">
        <v>0</v>
      </c>
      <c r="AM263">
        <v>0</v>
      </c>
      <c r="AN263">
        <v>0</v>
      </c>
      <c r="AO263">
        <v>0</v>
      </c>
      <c r="AP263">
        <v>0</v>
      </c>
      <c r="AQ263">
        <v>0</v>
      </c>
      <c r="AR263">
        <v>17</v>
      </c>
      <c r="AS263" t="s">
        <v>2586</v>
      </c>
    </row>
    <row r="264" spans="1:45" x14ac:dyDescent="0.25">
      <c r="A264">
        <v>50</v>
      </c>
      <c r="B264" t="str">
        <f>VLOOKUP(A264,'model groups'!$A$3:$C$86,2,FALSE)</f>
        <v>small reef omnivores</v>
      </c>
      <c r="C264" t="s">
        <v>821</v>
      </c>
      <c r="D264" t="s">
        <v>822</v>
      </c>
      <c r="E264" t="s">
        <v>822</v>
      </c>
      <c r="G264" t="s">
        <v>195</v>
      </c>
      <c r="H264" t="s">
        <v>196</v>
      </c>
      <c r="I264" t="s">
        <v>678</v>
      </c>
      <c r="J264" t="s">
        <v>823</v>
      </c>
      <c r="K264" t="s">
        <v>824</v>
      </c>
      <c r="L264">
        <v>2.1419499449999999</v>
      </c>
      <c r="M264">
        <v>48.372190954999994</v>
      </c>
      <c r="N264">
        <v>8.5650688069999994</v>
      </c>
      <c r="O264">
        <v>2</v>
      </c>
      <c r="P264">
        <v>12.93</v>
      </c>
      <c r="Q264">
        <v>1.18472</v>
      </c>
      <c r="R264" t="s">
        <v>70</v>
      </c>
      <c r="S264" t="s">
        <v>77</v>
      </c>
      <c r="T264" t="str">
        <f t="shared" si="8"/>
        <v>reef</v>
      </c>
      <c r="U264" s="1">
        <v>0</v>
      </c>
      <c r="V264" s="1">
        <v>0</v>
      </c>
      <c r="W264" s="1">
        <v>0</v>
      </c>
      <c r="X264" s="3">
        <v>1</v>
      </c>
      <c r="Y264" s="1">
        <v>0</v>
      </c>
      <c r="Z264" s="1">
        <v>0</v>
      </c>
      <c r="AA264" s="1">
        <v>0</v>
      </c>
      <c r="AB264" s="1">
        <v>0</v>
      </c>
      <c r="AC264">
        <v>0</v>
      </c>
      <c r="AD264">
        <v>0</v>
      </c>
      <c r="AE264">
        <v>0</v>
      </c>
      <c r="AF264">
        <v>0</v>
      </c>
      <c r="AG264">
        <v>0</v>
      </c>
      <c r="AH264">
        <v>0</v>
      </c>
      <c r="AI264">
        <v>0</v>
      </c>
      <c r="AJ264">
        <v>0</v>
      </c>
      <c r="AK264">
        <v>0</v>
      </c>
      <c r="AL264">
        <v>0</v>
      </c>
      <c r="AM264">
        <v>0</v>
      </c>
      <c r="AN264">
        <v>1</v>
      </c>
      <c r="AO264">
        <v>0</v>
      </c>
      <c r="AP264">
        <v>0</v>
      </c>
      <c r="AQ264">
        <v>0</v>
      </c>
      <c r="AR264">
        <v>17</v>
      </c>
      <c r="AS264" t="s">
        <v>2586</v>
      </c>
    </row>
    <row r="265" spans="1:45" x14ac:dyDescent="0.25">
      <c r="A265">
        <v>51</v>
      </c>
      <c r="B265" t="str">
        <f>VLOOKUP(A265,'model groups'!$A$3:$C$86,2,FALSE)</f>
        <v>reef planktivores</v>
      </c>
      <c r="C265" t="s">
        <v>71</v>
      </c>
      <c r="D265" t="s">
        <v>825</v>
      </c>
      <c r="E265" t="s">
        <v>826</v>
      </c>
      <c r="G265" t="s">
        <v>195</v>
      </c>
      <c r="H265" t="s">
        <v>196</v>
      </c>
      <c r="I265" t="s">
        <v>827</v>
      </c>
      <c r="J265" t="s">
        <v>71</v>
      </c>
      <c r="K265" t="s">
        <v>71</v>
      </c>
      <c r="L265" t="s">
        <v>71</v>
      </c>
      <c r="M265" t="s">
        <v>71</v>
      </c>
      <c r="N265" t="s">
        <v>71</v>
      </c>
      <c r="O265" t="s">
        <v>71</v>
      </c>
      <c r="P265" t="s">
        <v>71</v>
      </c>
      <c r="Q265" t="s">
        <v>71</v>
      </c>
      <c r="R265" t="s">
        <v>71</v>
      </c>
      <c r="S265" t="s">
        <v>71</v>
      </c>
      <c r="U265" t="s">
        <v>71</v>
      </c>
      <c r="V265" t="s">
        <v>71</v>
      </c>
      <c r="W265" t="s">
        <v>71</v>
      </c>
      <c r="X265" t="s">
        <v>71</v>
      </c>
      <c r="Y265" t="s">
        <v>71</v>
      </c>
      <c r="Z265" t="s">
        <v>71</v>
      </c>
      <c r="AA265" t="s">
        <v>71</v>
      </c>
      <c r="AB265" t="s">
        <v>71</v>
      </c>
      <c r="AC265" t="s">
        <v>71</v>
      </c>
      <c r="AD265" t="s">
        <v>71</v>
      </c>
      <c r="AE265" t="s">
        <v>71</v>
      </c>
      <c r="AF265" t="s">
        <v>71</v>
      </c>
      <c r="AG265">
        <v>0</v>
      </c>
      <c r="AH265">
        <v>0</v>
      </c>
      <c r="AI265">
        <v>0</v>
      </c>
      <c r="AJ265">
        <v>0</v>
      </c>
      <c r="AK265">
        <v>1</v>
      </c>
      <c r="AL265">
        <v>0</v>
      </c>
      <c r="AM265">
        <v>0</v>
      </c>
      <c r="AN265">
        <v>0</v>
      </c>
      <c r="AO265">
        <v>0</v>
      </c>
      <c r="AP265">
        <v>0</v>
      </c>
      <c r="AQ265">
        <v>0</v>
      </c>
      <c r="AR265">
        <v>17</v>
      </c>
      <c r="AS265" t="s">
        <v>2586</v>
      </c>
    </row>
    <row r="266" spans="1:45" x14ac:dyDescent="0.25">
      <c r="A266">
        <v>51</v>
      </c>
      <c r="B266" t="str">
        <f>VLOOKUP(A266,'model groups'!$A$3:$C$86,2,FALSE)</f>
        <v>reef planktivores</v>
      </c>
      <c r="C266" t="s">
        <v>828</v>
      </c>
      <c r="D266" t="s">
        <v>829</v>
      </c>
      <c r="E266" t="s">
        <v>829</v>
      </c>
      <c r="G266" t="s">
        <v>195</v>
      </c>
      <c r="H266" t="s">
        <v>196</v>
      </c>
      <c r="I266" t="s">
        <v>827</v>
      </c>
      <c r="J266" t="s">
        <v>830</v>
      </c>
      <c r="K266" t="s">
        <v>831</v>
      </c>
      <c r="L266">
        <v>1.859357836</v>
      </c>
      <c r="N266">
        <v>10.668417420000001</v>
      </c>
      <c r="O266">
        <v>3.2833333329999999</v>
      </c>
      <c r="P266">
        <v>10</v>
      </c>
      <c r="R266" t="s">
        <v>70</v>
      </c>
      <c r="S266" t="s">
        <v>77</v>
      </c>
      <c r="T266" t="str">
        <f>IF(OR(AK266=1,AN266=1),"reef","no")</f>
        <v>reef</v>
      </c>
      <c r="U266" s="1">
        <v>0</v>
      </c>
      <c r="V266" s="1">
        <v>0</v>
      </c>
      <c r="W266" s="1">
        <v>1.89999998398E-2</v>
      </c>
      <c r="X266" s="1">
        <v>0</v>
      </c>
      <c r="Y266" s="1">
        <v>0</v>
      </c>
      <c r="Z266" s="1">
        <v>1.2999999574599999E-2</v>
      </c>
      <c r="AA266" s="1">
        <v>3.0000001326000005E-3</v>
      </c>
      <c r="AB266" s="1">
        <v>0.96500000045300005</v>
      </c>
      <c r="AC266">
        <v>0</v>
      </c>
      <c r="AD266">
        <v>0</v>
      </c>
      <c r="AE266">
        <v>0</v>
      </c>
      <c r="AF266">
        <v>1</v>
      </c>
      <c r="AG266">
        <v>0</v>
      </c>
      <c r="AH266">
        <v>0</v>
      </c>
      <c r="AI266">
        <v>0</v>
      </c>
      <c r="AJ266">
        <v>0</v>
      </c>
      <c r="AK266">
        <v>1</v>
      </c>
      <c r="AL266">
        <v>0</v>
      </c>
      <c r="AM266">
        <v>0</v>
      </c>
      <c r="AN266">
        <v>0</v>
      </c>
      <c r="AO266">
        <v>0</v>
      </c>
      <c r="AP266">
        <v>0</v>
      </c>
      <c r="AQ266">
        <v>0</v>
      </c>
      <c r="AR266">
        <v>17</v>
      </c>
      <c r="AS266" t="s">
        <v>2586</v>
      </c>
    </row>
    <row r="267" spans="1:45" x14ac:dyDescent="0.25">
      <c r="A267">
        <v>51</v>
      </c>
      <c r="B267" t="str">
        <f>VLOOKUP(A267,'model groups'!$A$3:$C$86,2,FALSE)</f>
        <v>reef planktivores</v>
      </c>
      <c r="D267" t="s">
        <v>832</v>
      </c>
      <c r="E267" t="s">
        <v>833</v>
      </c>
      <c r="G267" t="s">
        <v>195</v>
      </c>
      <c r="I267" t="s">
        <v>827</v>
      </c>
      <c r="J267" t="s">
        <v>830</v>
      </c>
      <c r="T267" t="str">
        <f>IF(OR(AK267=1,AN267=1),"reef","no")</f>
        <v>reef</v>
      </c>
      <c r="U267" s="1"/>
      <c r="V267" s="1"/>
      <c r="W267" s="1"/>
      <c r="X267" s="1"/>
      <c r="Y267" s="1"/>
      <c r="Z267" s="1"/>
      <c r="AA267" s="1"/>
      <c r="AB267" s="1"/>
      <c r="AG267">
        <v>0</v>
      </c>
      <c r="AH267">
        <v>0</v>
      </c>
      <c r="AI267">
        <v>0</v>
      </c>
      <c r="AJ267">
        <v>0</v>
      </c>
      <c r="AK267">
        <v>0</v>
      </c>
      <c r="AL267">
        <v>0</v>
      </c>
      <c r="AM267">
        <v>0</v>
      </c>
      <c r="AN267">
        <v>1</v>
      </c>
      <c r="AO267">
        <v>0</v>
      </c>
      <c r="AP267">
        <v>0</v>
      </c>
      <c r="AQ267">
        <v>0</v>
      </c>
      <c r="AR267">
        <v>17</v>
      </c>
      <c r="AS267" t="s">
        <v>2586</v>
      </c>
    </row>
    <row r="268" spans="1:45" x14ac:dyDescent="0.25">
      <c r="A268">
        <v>51</v>
      </c>
      <c r="B268" t="str">
        <f>VLOOKUP(A268,'model groups'!$A$3:$C$86,2,FALSE)</f>
        <v>reef planktivores</v>
      </c>
      <c r="D268" t="s">
        <v>825</v>
      </c>
      <c r="E268" t="s">
        <v>826</v>
      </c>
      <c r="G268" t="s">
        <v>195</v>
      </c>
      <c r="H268" t="s">
        <v>196</v>
      </c>
      <c r="I268" t="s">
        <v>827</v>
      </c>
      <c r="T268" t="str">
        <f>IF(OR(AK268=1,AN268=1),"reef","no")</f>
        <v>reef</v>
      </c>
      <c r="U268" s="1"/>
      <c r="V268" s="1"/>
      <c r="W268" s="1"/>
      <c r="X268" s="1"/>
      <c r="Y268" s="1"/>
      <c r="Z268" s="1"/>
      <c r="AA268" s="1"/>
      <c r="AB268" s="1"/>
      <c r="AG268">
        <v>0</v>
      </c>
      <c r="AH268">
        <v>0</v>
      </c>
      <c r="AI268">
        <v>0</v>
      </c>
      <c r="AJ268">
        <v>0</v>
      </c>
      <c r="AK268">
        <v>1</v>
      </c>
      <c r="AL268">
        <v>0</v>
      </c>
      <c r="AM268">
        <v>0</v>
      </c>
      <c r="AN268">
        <v>0</v>
      </c>
      <c r="AO268">
        <v>0</v>
      </c>
      <c r="AP268">
        <v>0</v>
      </c>
      <c r="AQ268">
        <v>0</v>
      </c>
      <c r="AR268">
        <v>17</v>
      </c>
      <c r="AS268" t="s">
        <v>2586</v>
      </c>
    </row>
    <row r="269" spans="1:45" x14ac:dyDescent="0.25">
      <c r="A269">
        <v>51</v>
      </c>
      <c r="B269" t="str">
        <f>VLOOKUP(A269,'model groups'!$A$3:$C$86,2,FALSE)</f>
        <v>reef planktivores</v>
      </c>
      <c r="C269" t="s">
        <v>834</v>
      </c>
      <c r="D269" t="s">
        <v>835</v>
      </c>
      <c r="E269" t="s">
        <v>835</v>
      </c>
      <c r="G269" t="s">
        <v>241</v>
      </c>
      <c r="H269" t="s">
        <v>379</v>
      </c>
      <c r="I269" t="s">
        <v>836</v>
      </c>
      <c r="J269" t="s">
        <v>837</v>
      </c>
      <c r="AR269">
        <v>17</v>
      </c>
      <c r="AS269" t="s">
        <v>2586</v>
      </c>
    </row>
    <row r="270" spans="1:45" x14ac:dyDescent="0.25">
      <c r="A270">
        <v>51</v>
      </c>
      <c r="B270" t="str">
        <f>VLOOKUP(A270,'model groups'!$A$3:$C$86,2,FALSE)</f>
        <v>reef planktivores</v>
      </c>
      <c r="C270" t="s">
        <v>838</v>
      </c>
      <c r="D270" t="s">
        <v>839</v>
      </c>
      <c r="E270" t="s">
        <v>839</v>
      </c>
      <c r="G270" t="s">
        <v>241</v>
      </c>
      <c r="H270" t="s">
        <v>379</v>
      </c>
      <c r="I270" t="s">
        <v>836</v>
      </c>
      <c r="J270" t="s">
        <v>837</v>
      </c>
      <c r="AR270">
        <v>17</v>
      </c>
      <c r="AS270" t="s">
        <v>2586</v>
      </c>
    </row>
    <row r="271" spans="1:45" x14ac:dyDescent="0.25">
      <c r="A271">
        <v>51</v>
      </c>
      <c r="B271" t="str">
        <f>VLOOKUP(A271,'model groups'!$A$3:$C$86,2,FALSE)</f>
        <v>reef planktivores</v>
      </c>
      <c r="C271" t="s">
        <v>840</v>
      </c>
      <c r="D271" t="s">
        <v>841</v>
      </c>
      <c r="E271" t="s">
        <v>841</v>
      </c>
      <c r="G271" t="s">
        <v>195</v>
      </c>
      <c r="H271" t="s">
        <v>196</v>
      </c>
      <c r="I271" t="s">
        <v>836</v>
      </c>
      <c r="J271" t="s">
        <v>842</v>
      </c>
      <c r="K271" t="s">
        <v>843</v>
      </c>
      <c r="L271">
        <v>1.437842525</v>
      </c>
      <c r="M271">
        <v>13.40203159</v>
      </c>
      <c r="N271">
        <v>15.89979072</v>
      </c>
      <c r="O271">
        <v>3.415</v>
      </c>
      <c r="P271">
        <v>26.31</v>
      </c>
      <c r="Q271">
        <v>2.6133600000000001</v>
      </c>
      <c r="R271" t="s">
        <v>70</v>
      </c>
      <c r="S271" t="s">
        <v>77</v>
      </c>
      <c r="T271" t="str">
        <f>IF(OR(AK271=1,AN271=1),"reef","no")</f>
        <v>reef</v>
      </c>
      <c r="U271" s="1">
        <v>0</v>
      </c>
      <c r="V271" s="1">
        <v>3.0000000395399989E-3</v>
      </c>
      <c r="W271" s="1">
        <v>0</v>
      </c>
      <c r="X271" s="1">
        <v>0</v>
      </c>
      <c r="Y271" s="1">
        <v>0</v>
      </c>
      <c r="Z271" s="1">
        <v>2.900000017222E-2</v>
      </c>
      <c r="AA271" s="1">
        <v>0.33900000620801984</v>
      </c>
      <c r="AB271" s="1">
        <v>0.62899999358022018</v>
      </c>
      <c r="AC271">
        <v>0</v>
      </c>
      <c r="AD271">
        <v>0</v>
      </c>
      <c r="AE271">
        <v>0</v>
      </c>
      <c r="AF271">
        <v>1</v>
      </c>
      <c r="AG271">
        <v>0</v>
      </c>
      <c r="AH271">
        <v>0</v>
      </c>
      <c r="AI271">
        <v>0</v>
      </c>
      <c r="AJ271">
        <v>0</v>
      </c>
      <c r="AK271">
        <v>0</v>
      </c>
      <c r="AL271">
        <v>0</v>
      </c>
      <c r="AM271">
        <v>0</v>
      </c>
      <c r="AN271">
        <v>1</v>
      </c>
      <c r="AO271">
        <v>0</v>
      </c>
      <c r="AP271">
        <v>0</v>
      </c>
      <c r="AQ271">
        <v>0</v>
      </c>
      <c r="AR271">
        <v>17</v>
      </c>
      <c r="AS271" t="s">
        <v>2586</v>
      </c>
    </row>
    <row r="272" spans="1:45" x14ac:dyDescent="0.25">
      <c r="A272">
        <v>51</v>
      </c>
      <c r="B272" t="str">
        <f>VLOOKUP(A272,'model groups'!$A$3:$C$86,2,FALSE)</f>
        <v>reef planktivores</v>
      </c>
      <c r="C272" t="s">
        <v>844</v>
      </c>
      <c r="D272" t="s">
        <v>845</v>
      </c>
      <c r="E272" t="s">
        <v>845</v>
      </c>
      <c r="G272" t="s">
        <v>195</v>
      </c>
      <c r="H272" t="s">
        <v>196</v>
      </c>
      <c r="I272" t="s">
        <v>836</v>
      </c>
      <c r="J272" t="s">
        <v>842</v>
      </c>
      <c r="T272" t="str">
        <f>IF(OR(AK272=1,AN272=1),"reef","no")</f>
        <v>reef</v>
      </c>
      <c r="U272" s="1"/>
      <c r="V272" s="1"/>
      <c r="W272" s="1"/>
      <c r="X272" s="1"/>
      <c r="Y272" s="1"/>
      <c r="Z272" s="1"/>
      <c r="AA272" s="1"/>
      <c r="AB272" s="1"/>
      <c r="AG272">
        <v>0</v>
      </c>
      <c r="AH272">
        <v>0</v>
      </c>
      <c r="AI272">
        <v>0</v>
      </c>
      <c r="AJ272">
        <v>0</v>
      </c>
      <c r="AK272">
        <v>1</v>
      </c>
      <c r="AL272">
        <v>0</v>
      </c>
      <c r="AM272">
        <v>0</v>
      </c>
      <c r="AN272">
        <v>1</v>
      </c>
      <c r="AO272">
        <v>0</v>
      </c>
      <c r="AP272">
        <v>0</v>
      </c>
      <c r="AQ272">
        <v>0</v>
      </c>
      <c r="AR272">
        <v>17</v>
      </c>
      <c r="AS272" t="s">
        <v>2586</v>
      </c>
    </row>
    <row r="273" spans="1:45" x14ac:dyDescent="0.25">
      <c r="A273">
        <v>51</v>
      </c>
      <c r="B273" t="str">
        <f>VLOOKUP(A273,'model groups'!$A$3:$C$86,2,FALSE)</f>
        <v>reef planktivores</v>
      </c>
      <c r="C273" t="s">
        <v>844</v>
      </c>
      <c r="D273" t="s">
        <v>846</v>
      </c>
      <c r="E273" t="s">
        <v>846</v>
      </c>
      <c r="G273" t="s">
        <v>195</v>
      </c>
      <c r="I273" t="s">
        <v>836</v>
      </c>
      <c r="J273" t="s">
        <v>842</v>
      </c>
      <c r="T273" t="str">
        <f>IF(OR(AK273=1,AN273=1),"reef","no")</f>
        <v>no</v>
      </c>
      <c r="U273" s="1"/>
      <c r="V273" s="1"/>
      <c r="W273" s="1"/>
      <c r="X273" s="1"/>
      <c r="Y273" s="1"/>
      <c r="Z273" s="1"/>
      <c r="AA273" s="1"/>
      <c r="AB273" s="1"/>
      <c r="AG273">
        <v>1</v>
      </c>
      <c r="AH273">
        <v>0</v>
      </c>
      <c r="AI273">
        <v>0</v>
      </c>
      <c r="AJ273">
        <v>0</v>
      </c>
      <c r="AK273">
        <v>0</v>
      </c>
      <c r="AL273">
        <v>0</v>
      </c>
      <c r="AM273">
        <v>0</v>
      </c>
      <c r="AN273">
        <v>0</v>
      </c>
      <c r="AO273">
        <v>0</v>
      </c>
      <c r="AP273">
        <v>0</v>
      </c>
      <c r="AQ273">
        <v>0</v>
      </c>
      <c r="AR273">
        <v>17</v>
      </c>
      <c r="AS273" t="s">
        <v>2586</v>
      </c>
    </row>
    <row r="274" spans="1:45" x14ac:dyDescent="0.25">
      <c r="A274">
        <v>51</v>
      </c>
      <c r="B274" t="str">
        <f>VLOOKUP(A274,'model groups'!$A$3:$C$86,2,FALSE)</f>
        <v>reef planktivores</v>
      </c>
      <c r="C274" t="s">
        <v>847</v>
      </c>
      <c r="D274" t="s">
        <v>848</v>
      </c>
      <c r="E274" t="s">
        <v>848</v>
      </c>
      <c r="G274" t="s">
        <v>195</v>
      </c>
      <c r="H274" t="s">
        <v>196</v>
      </c>
      <c r="I274" t="s">
        <v>836</v>
      </c>
      <c r="J274" t="s">
        <v>842</v>
      </c>
      <c r="K274" t="s">
        <v>849</v>
      </c>
      <c r="L274">
        <v>1.859357836</v>
      </c>
      <c r="M274">
        <v>13.542228810000001</v>
      </c>
      <c r="N274">
        <v>10.668417420000001</v>
      </c>
      <c r="O274">
        <v>3.4</v>
      </c>
      <c r="P274">
        <v>20.93</v>
      </c>
      <c r="Q274">
        <v>1.52457</v>
      </c>
      <c r="R274" t="s">
        <v>70</v>
      </c>
      <c r="S274" t="s">
        <v>77</v>
      </c>
      <c r="T274" t="str">
        <f>IF(OR(AK274=1,AN274=1),"reef","no")</f>
        <v>reef</v>
      </c>
      <c r="U274" s="1">
        <v>0</v>
      </c>
      <c r="V274" s="1">
        <v>8.9999995838600123E-3</v>
      </c>
      <c r="W274" s="1">
        <v>6.0000000692399975E-3</v>
      </c>
      <c r="X274" s="1">
        <v>0</v>
      </c>
      <c r="Y274" s="1">
        <v>0</v>
      </c>
      <c r="Z274" s="1">
        <v>2.3499999571190009E-2</v>
      </c>
      <c r="AA274" s="1">
        <v>0.1855000026206699</v>
      </c>
      <c r="AB274" s="1">
        <v>0.77599999815504006</v>
      </c>
      <c r="AC274">
        <v>0</v>
      </c>
      <c r="AD274">
        <v>0</v>
      </c>
      <c r="AE274">
        <v>0</v>
      </c>
      <c r="AF274">
        <v>1</v>
      </c>
      <c r="AG274">
        <v>0</v>
      </c>
      <c r="AH274">
        <v>0</v>
      </c>
      <c r="AI274">
        <v>0</v>
      </c>
      <c r="AJ274">
        <v>0</v>
      </c>
      <c r="AK274">
        <v>0</v>
      </c>
      <c r="AL274">
        <v>0</v>
      </c>
      <c r="AM274">
        <v>0</v>
      </c>
      <c r="AN274">
        <v>1</v>
      </c>
      <c r="AO274">
        <v>0</v>
      </c>
      <c r="AP274">
        <v>0</v>
      </c>
      <c r="AQ274">
        <v>0</v>
      </c>
      <c r="AR274">
        <v>17</v>
      </c>
      <c r="AS274" t="s">
        <v>2586</v>
      </c>
    </row>
    <row r="275" spans="1:45" x14ac:dyDescent="0.25">
      <c r="A275">
        <v>51</v>
      </c>
      <c r="B275" t="str">
        <f>VLOOKUP(A275,'model groups'!$A$3:$C$86,2,FALSE)</f>
        <v>reef planktivores</v>
      </c>
      <c r="C275" t="s">
        <v>850</v>
      </c>
      <c r="D275" t="s">
        <v>851</v>
      </c>
      <c r="E275" t="s">
        <v>851</v>
      </c>
      <c r="G275" t="s">
        <v>241</v>
      </c>
      <c r="H275" t="s">
        <v>379</v>
      </c>
      <c r="I275" t="s">
        <v>836</v>
      </c>
      <c r="J275" t="s">
        <v>842</v>
      </c>
      <c r="AR275">
        <v>17</v>
      </c>
      <c r="AS275" t="s">
        <v>2586</v>
      </c>
    </row>
    <row r="276" spans="1:45" x14ac:dyDescent="0.25">
      <c r="A276">
        <v>51</v>
      </c>
      <c r="B276" t="str">
        <f>VLOOKUP(A276,'model groups'!$A$3:$C$86,2,FALSE)</f>
        <v>reef planktivores</v>
      </c>
      <c r="C276" t="s">
        <v>852</v>
      </c>
      <c r="D276" t="s">
        <v>853</v>
      </c>
      <c r="E276" t="s">
        <v>853</v>
      </c>
      <c r="G276" t="s">
        <v>241</v>
      </c>
      <c r="H276" t="s">
        <v>379</v>
      </c>
      <c r="I276" t="s">
        <v>836</v>
      </c>
      <c r="J276" t="s">
        <v>842</v>
      </c>
      <c r="AR276">
        <v>17</v>
      </c>
      <c r="AS276" t="s">
        <v>2586</v>
      </c>
    </row>
    <row r="277" spans="1:45" x14ac:dyDescent="0.25">
      <c r="A277">
        <v>51</v>
      </c>
      <c r="B277" t="str">
        <f>VLOOKUP(A277,'model groups'!$A$3:$C$86,2,FALSE)</f>
        <v>reef planktivores</v>
      </c>
      <c r="C277" t="s">
        <v>854</v>
      </c>
      <c r="D277" t="s">
        <v>855</v>
      </c>
      <c r="E277" t="s">
        <v>855</v>
      </c>
      <c r="G277" t="s">
        <v>241</v>
      </c>
      <c r="H277" t="s">
        <v>379</v>
      </c>
      <c r="I277" t="s">
        <v>836</v>
      </c>
      <c r="J277" t="s">
        <v>856</v>
      </c>
      <c r="AR277">
        <v>17</v>
      </c>
      <c r="AS277" t="s">
        <v>2586</v>
      </c>
    </row>
    <row r="278" spans="1:45" x14ac:dyDescent="0.25">
      <c r="A278">
        <v>51</v>
      </c>
      <c r="B278" t="str">
        <f>VLOOKUP(A278,'model groups'!$A$3:$C$86,2,FALSE)</f>
        <v>reef planktivores</v>
      </c>
      <c r="C278" t="s">
        <v>857</v>
      </c>
      <c r="D278" t="s">
        <v>858</v>
      </c>
      <c r="E278" t="s">
        <v>858</v>
      </c>
      <c r="G278" t="s">
        <v>195</v>
      </c>
      <c r="H278" t="s">
        <v>196</v>
      </c>
      <c r="I278" t="s">
        <v>836</v>
      </c>
      <c r="J278" t="s">
        <v>859</v>
      </c>
      <c r="K278" t="s">
        <v>860</v>
      </c>
      <c r="L278">
        <v>1.859357836</v>
      </c>
      <c r="M278">
        <v>19.183614535</v>
      </c>
      <c r="N278">
        <v>10.668417420000001</v>
      </c>
      <c r="O278">
        <v>3.0649999999999999</v>
      </c>
      <c r="P278">
        <v>20.93</v>
      </c>
      <c r="Q278">
        <v>1.42001</v>
      </c>
      <c r="R278" t="s">
        <v>70</v>
      </c>
      <c r="S278" t="s">
        <v>77</v>
      </c>
      <c r="T278" t="str">
        <f>IF(OR(AK278=1,AN278=1),"reef","no")</f>
        <v>reef</v>
      </c>
      <c r="U278" s="1">
        <v>8.6800002633359991E-2</v>
      </c>
      <c r="V278" s="1">
        <v>8.5599999019120007E-2</v>
      </c>
      <c r="W278" s="1">
        <v>0</v>
      </c>
      <c r="X278" s="1">
        <v>0.27620000707423997</v>
      </c>
      <c r="Y278" s="1">
        <v>0</v>
      </c>
      <c r="Z278" s="1">
        <v>8.0699996562640014E-2</v>
      </c>
      <c r="AA278" s="1">
        <v>0.19319999484264</v>
      </c>
      <c r="AB278" s="1">
        <v>0.277499999868</v>
      </c>
      <c r="AC278">
        <v>1</v>
      </c>
      <c r="AD278">
        <v>1</v>
      </c>
      <c r="AE278">
        <v>1</v>
      </c>
      <c r="AF278">
        <v>1</v>
      </c>
      <c r="AG278">
        <v>0</v>
      </c>
      <c r="AH278">
        <v>0</v>
      </c>
      <c r="AI278">
        <v>0</v>
      </c>
      <c r="AJ278">
        <v>0</v>
      </c>
      <c r="AK278">
        <v>0</v>
      </c>
      <c r="AL278">
        <v>0</v>
      </c>
      <c r="AM278">
        <v>0</v>
      </c>
      <c r="AN278">
        <v>1</v>
      </c>
      <c r="AO278">
        <v>0</v>
      </c>
      <c r="AP278">
        <v>0</v>
      </c>
      <c r="AQ278">
        <v>0</v>
      </c>
      <c r="AR278">
        <v>17</v>
      </c>
      <c r="AS278" t="s">
        <v>2586</v>
      </c>
    </row>
    <row r="279" spans="1:45" x14ac:dyDescent="0.25">
      <c r="A279">
        <v>51</v>
      </c>
      <c r="B279" t="str">
        <f>VLOOKUP(A279,'model groups'!$A$3:$C$86,2,FALSE)</f>
        <v>reef planktivores</v>
      </c>
      <c r="C279" t="s">
        <v>861</v>
      </c>
      <c r="D279" t="s">
        <v>862</v>
      </c>
      <c r="E279" t="s">
        <v>862</v>
      </c>
      <c r="G279" t="s">
        <v>195</v>
      </c>
      <c r="H279" t="s">
        <v>196</v>
      </c>
      <c r="I279" t="s">
        <v>836</v>
      </c>
      <c r="J279" t="s">
        <v>859</v>
      </c>
      <c r="K279" t="s">
        <v>863</v>
      </c>
      <c r="L279">
        <v>1.859357836</v>
      </c>
      <c r="M279">
        <v>24.162997275000002</v>
      </c>
      <c r="N279">
        <v>10.668417420000001</v>
      </c>
      <c r="O279">
        <v>2</v>
      </c>
      <c r="P279">
        <v>20.93</v>
      </c>
      <c r="Q279">
        <v>1.5030250000000001</v>
      </c>
      <c r="R279" t="s">
        <v>70</v>
      </c>
      <c r="S279" t="s">
        <v>77</v>
      </c>
      <c r="T279" t="str">
        <f>IF(OR(AK279=1,AN279=1),"reef","no")</f>
        <v>reef</v>
      </c>
      <c r="U279" s="1">
        <v>4.6798441631905614E-2</v>
      </c>
      <c r="V279" s="1">
        <v>9.5096831049396577E-2</v>
      </c>
      <c r="W279" s="1">
        <v>8.6330454599473749E-2</v>
      </c>
      <c r="X279" s="3">
        <v>0.3982867255967551</v>
      </c>
      <c r="Y279" s="1">
        <v>0</v>
      </c>
      <c r="Z279" s="1">
        <v>0.10722975634965395</v>
      </c>
      <c r="AA279" s="1">
        <v>0.13309556196243622</v>
      </c>
      <c r="AB279" s="1">
        <v>0.13316222881037884</v>
      </c>
      <c r="AC279">
        <v>0</v>
      </c>
      <c r="AD279">
        <v>0</v>
      </c>
      <c r="AE279">
        <v>0</v>
      </c>
      <c r="AF279">
        <v>1</v>
      </c>
      <c r="AG279">
        <v>0</v>
      </c>
      <c r="AH279">
        <v>0</v>
      </c>
      <c r="AI279">
        <v>0</v>
      </c>
      <c r="AJ279">
        <v>0</v>
      </c>
      <c r="AK279">
        <v>0</v>
      </c>
      <c r="AL279">
        <v>0</v>
      </c>
      <c r="AM279">
        <v>0</v>
      </c>
      <c r="AN279">
        <v>1</v>
      </c>
      <c r="AO279">
        <v>0</v>
      </c>
      <c r="AP279">
        <v>0</v>
      </c>
      <c r="AQ279">
        <v>0</v>
      </c>
      <c r="AR279">
        <v>17</v>
      </c>
      <c r="AS279" t="s">
        <v>2586</v>
      </c>
    </row>
    <row r="280" spans="1:45" x14ac:dyDescent="0.25">
      <c r="A280">
        <v>51</v>
      </c>
      <c r="B280" t="str">
        <f>VLOOKUP(A280,'model groups'!$A$3:$C$86,2,FALSE)</f>
        <v>reef planktivores</v>
      </c>
      <c r="C280" t="s">
        <v>864</v>
      </c>
      <c r="D280" t="s">
        <v>865</v>
      </c>
      <c r="E280" t="s">
        <v>865</v>
      </c>
      <c r="G280" t="s">
        <v>195</v>
      </c>
      <c r="H280" t="s">
        <v>196</v>
      </c>
      <c r="I280" t="s">
        <v>836</v>
      </c>
      <c r="J280" t="s">
        <v>859</v>
      </c>
      <c r="K280" t="s">
        <v>866</v>
      </c>
      <c r="L280">
        <v>1.614048717</v>
      </c>
      <c r="M280">
        <v>24.641626935000001</v>
      </c>
      <c r="N280">
        <v>13.28829142</v>
      </c>
      <c r="O280">
        <v>2.4743333330000001</v>
      </c>
      <c r="P280">
        <v>24.15</v>
      </c>
      <c r="Q280">
        <v>1.9839899999999999</v>
      </c>
      <c r="R280" t="s">
        <v>70</v>
      </c>
      <c r="S280" t="s">
        <v>77</v>
      </c>
      <c r="T280" t="str">
        <f>IF(OR(AK280=1,AN280=1),"reef","no")</f>
        <v>reef</v>
      </c>
      <c r="U280" s="1">
        <v>4.6798441631905614E-2</v>
      </c>
      <c r="V280" s="1">
        <v>9.5096831049396577E-2</v>
      </c>
      <c r="W280" s="1">
        <v>8.6330454599473749E-2</v>
      </c>
      <c r="X280" s="3">
        <v>0.3982867255967551</v>
      </c>
      <c r="Y280" s="1">
        <v>0</v>
      </c>
      <c r="Z280" s="1">
        <v>0.10722975634965395</v>
      </c>
      <c r="AA280" s="1">
        <v>0.13309556196243622</v>
      </c>
      <c r="AB280" s="1">
        <v>0.13316222881037884</v>
      </c>
      <c r="AC280">
        <v>1</v>
      </c>
      <c r="AD280">
        <v>1</v>
      </c>
      <c r="AE280">
        <v>1</v>
      </c>
      <c r="AF280">
        <v>1</v>
      </c>
      <c r="AG280">
        <v>0</v>
      </c>
      <c r="AH280">
        <v>0</v>
      </c>
      <c r="AI280">
        <v>0</v>
      </c>
      <c r="AJ280">
        <v>0</v>
      </c>
      <c r="AK280">
        <v>0</v>
      </c>
      <c r="AL280">
        <v>0</v>
      </c>
      <c r="AM280">
        <v>0</v>
      </c>
      <c r="AN280">
        <v>1</v>
      </c>
      <c r="AO280">
        <v>0</v>
      </c>
      <c r="AP280">
        <v>0</v>
      </c>
      <c r="AQ280">
        <v>0</v>
      </c>
      <c r="AR280">
        <v>17</v>
      </c>
      <c r="AS280" t="s">
        <v>2586</v>
      </c>
    </row>
    <row r="281" spans="1:45" x14ac:dyDescent="0.25">
      <c r="A281">
        <v>51</v>
      </c>
      <c r="B281" t="str">
        <f>VLOOKUP(A281,'model groups'!$A$3:$C$86,2,FALSE)</f>
        <v>reef planktivores</v>
      </c>
      <c r="D281" t="s">
        <v>867</v>
      </c>
      <c r="E281" t="s">
        <v>868</v>
      </c>
      <c r="G281" t="s">
        <v>195</v>
      </c>
      <c r="I281" t="s">
        <v>836</v>
      </c>
      <c r="J281" t="s">
        <v>859</v>
      </c>
      <c r="T281" t="str">
        <f>IF(OR(AK281=1,AN281=1),"reef","no")</f>
        <v>reef</v>
      </c>
      <c r="U281" s="1"/>
      <c r="V281" s="1"/>
      <c r="W281" s="1"/>
      <c r="X281" s="1"/>
      <c r="Y281" s="1"/>
      <c r="Z281" s="1"/>
      <c r="AA281" s="1"/>
      <c r="AB281" s="1"/>
      <c r="AG281">
        <v>0</v>
      </c>
      <c r="AH281">
        <v>0</v>
      </c>
      <c r="AI281">
        <v>0</v>
      </c>
      <c r="AJ281">
        <v>0</v>
      </c>
      <c r="AK281">
        <v>1</v>
      </c>
      <c r="AL281">
        <v>0</v>
      </c>
      <c r="AM281">
        <v>0</v>
      </c>
      <c r="AN281">
        <v>0</v>
      </c>
      <c r="AO281">
        <v>0</v>
      </c>
      <c r="AP281">
        <v>0</v>
      </c>
      <c r="AQ281">
        <v>0</v>
      </c>
      <c r="AR281">
        <v>17</v>
      </c>
      <c r="AS281" t="s">
        <v>2586</v>
      </c>
    </row>
    <row r="282" spans="1:45" x14ac:dyDescent="0.25">
      <c r="A282">
        <v>51</v>
      </c>
      <c r="B282" t="str">
        <f>VLOOKUP(A282,'model groups'!$A$3:$C$86,2,FALSE)</f>
        <v>reef planktivores</v>
      </c>
      <c r="D282" t="s">
        <v>869</v>
      </c>
      <c r="E282" t="s">
        <v>869</v>
      </c>
      <c r="G282" t="s">
        <v>241</v>
      </c>
      <c r="H282" t="s">
        <v>379</v>
      </c>
      <c r="I282" t="s">
        <v>836</v>
      </c>
      <c r="J282" t="s">
        <v>859</v>
      </c>
      <c r="K282" t="s">
        <v>870</v>
      </c>
      <c r="AR282">
        <v>17</v>
      </c>
      <c r="AS282" t="s">
        <v>2586</v>
      </c>
    </row>
    <row r="283" spans="1:45" x14ac:dyDescent="0.25">
      <c r="A283">
        <v>51</v>
      </c>
      <c r="B283" t="str">
        <f>VLOOKUP(A283,'model groups'!$A$3:$C$86,2,FALSE)</f>
        <v>reef planktivores</v>
      </c>
      <c r="C283" t="s">
        <v>871</v>
      </c>
      <c r="D283" t="s">
        <v>872</v>
      </c>
      <c r="E283" t="s">
        <v>872</v>
      </c>
      <c r="G283" t="s">
        <v>241</v>
      </c>
      <c r="H283" t="s">
        <v>379</v>
      </c>
      <c r="I283" t="s">
        <v>836</v>
      </c>
      <c r="J283" t="s">
        <v>859</v>
      </c>
      <c r="AR283">
        <v>17</v>
      </c>
      <c r="AS283" t="s">
        <v>2586</v>
      </c>
    </row>
    <row r="284" spans="1:45" x14ac:dyDescent="0.25">
      <c r="A284">
        <v>51</v>
      </c>
      <c r="B284" t="str">
        <f>VLOOKUP(A284,'model groups'!$A$3:$C$86,2,FALSE)</f>
        <v>reef planktivores</v>
      </c>
      <c r="C284" t="s">
        <v>873</v>
      </c>
      <c r="D284" t="s">
        <v>874</v>
      </c>
      <c r="E284" t="s">
        <v>874</v>
      </c>
      <c r="G284" t="s">
        <v>241</v>
      </c>
      <c r="H284" t="s">
        <v>379</v>
      </c>
      <c r="I284" t="s">
        <v>836</v>
      </c>
      <c r="J284" t="s">
        <v>859</v>
      </c>
      <c r="AR284">
        <v>17</v>
      </c>
      <c r="AS284" t="s">
        <v>2586</v>
      </c>
    </row>
    <row r="285" spans="1:45" x14ac:dyDescent="0.25">
      <c r="A285">
        <v>51</v>
      </c>
      <c r="B285" t="str">
        <f>VLOOKUP(A285,'model groups'!$A$3:$C$86,2,FALSE)</f>
        <v>reef planktivores</v>
      </c>
      <c r="D285" t="s">
        <v>875</v>
      </c>
      <c r="E285" t="s">
        <v>875</v>
      </c>
      <c r="G285" t="s">
        <v>195</v>
      </c>
      <c r="H285" t="s">
        <v>196</v>
      </c>
      <c r="I285" t="s">
        <v>836</v>
      </c>
      <c r="T285" t="str">
        <f t="shared" ref="T285:T291" si="9">IF(OR(AK285=1,AN285=1),"reef","no")</f>
        <v>reef</v>
      </c>
      <c r="U285" s="1"/>
      <c r="V285" s="1"/>
      <c r="W285" s="1"/>
      <c r="X285" s="1"/>
      <c r="Y285" s="1"/>
      <c r="Z285" s="1"/>
      <c r="AA285" s="1"/>
      <c r="AB285" s="1"/>
      <c r="AG285">
        <v>0</v>
      </c>
      <c r="AH285">
        <v>0</v>
      </c>
      <c r="AI285">
        <v>0</v>
      </c>
      <c r="AJ285">
        <v>0</v>
      </c>
      <c r="AK285">
        <v>0</v>
      </c>
      <c r="AL285">
        <v>0</v>
      </c>
      <c r="AM285">
        <v>0</v>
      </c>
      <c r="AN285">
        <v>1</v>
      </c>
      <c r="AO285">
        <v>0</v>
      </c>
      <c r="AP285">
        <v>0</v>
      </c>
      <c r="AQ285">
        <v>0</v>
      </c>
      <c r="AR285">
        <v>17</v>
      </c>
      <c r="AS285" t="s">
        <v>2586</v>
      </c>
    </row>
    <row r="286" spans="1:45" x14ac:dyDescent="0.25">
      <c r="A286">
        <v>51</v>
      </c>
      <c r="B286" t="str">
        <f>VLOOKUP(A286,'model groups'!$A$3:$C$86,2,FALSE)</f>
        <v>reef planktivores</v>
      </c>
      <c r="D286" t="s">
        <v>875</v>
      </c>
      <c r="E286" t="s">
        <v>876</v>
      </c>
      <c r="G286" t="s">
        <v>195</v>
      </c>
      <c r="H286" t="s">
        <v>196</v>
      </c>
      <c r="I286" t="s">
        <v>836</v>
      </c>
      <c r="T286" t="str">
        <f t="shared" si="9"/>
        <v>reef</v>
      </c>
      <c r="U286" s="1"/>
      <c r="V286" s="1"/>
      <c r="W286" s="1"/>
      <c r="X286" s="1"/>
      <c r="Y286" s="1"/>
      <c r="Z286" s="1"/>
      <c r="AA286" s="1"/>
      <c r="AB286" s="1"/>
      <c r="AG286">
        <v>0</v>
      </c>
      <c r="AH286">
        <v>0</v>
      </c>
      <c r="AI286">
        <v>0</v>
      </c>
      <c r="AJ286">
        <v>0</v>
      </c>
      <c r="AK286">
        <v>1</v>
      </c>
      <c r="AL286">
        <v>0</v>
      </c>
      <c r="AM286">
        <v>0</v>
      </c>
      <c r="AN286">
        <v>0</v>
      </c>
      <c r="AO286">
        <v>0</v>
      </c>
      <c r="AP286">
        <v>0</v>
      </c>
      <c r="AQ286">
        <v>0</v>
      </c>
      <c r="AR286">
        <v>17</v>
      </c>
      <c r="AS286" t="s">
        <v>2586</v>
      </c>
    </row>
    <row r="287" spans="1:45" x14ac:dyDescent="0.25">
      <c r="A287">
        <v>51</v>
      </c>
      <c r="B287" t="str">
        <f>VLOOKUP(A287,'model groups'!$A$3:$C$86,2,FALSE)</f>
        <v>reef planktivores</v>
      </c>
      <c r="C287" t="s">
        <v>877</v>
      </c>
      <c r="D287" t="s">
        <v>878</v>
      </c>
      <c r="E287" t="s">
        <v>878</v>
      </c>
      <c r="G287" t="s">
        <v>195</v>
      </c>
      <c r="H287" t="s">
        <v>196</v>
      </c>
      <c r="I287" t="s">
        <v>337</v>
      </c>
      <c r="J287" t="s">
        <v>879</v>
      </c>
      <c r="K287" t="s">
        <v>880</v>
      </c>
      <c r="L287">
        <v>1.040032415</v>
      </c>
      <c r="N287">
        <v>26.285289379999998</v>
      </c>
      <c r="O287">
        <v>3.25</v>
      </c>
      <c r="P287">
        <v>29.29</v>
      </c>
      <c r="Q287">
        <v>1.10301</v>
      </c>
      <c r="R287" t="s">
        <v>70</v>
      </c>
      <c r="S287" t="s">
        <v>51</v>
      </c>
      <c r="T287" t="str">
        <f t="shared" si="9"/>
        <v>reef</v>
      </c>
      <c r="U287" s="1"/>
      <c r="V287" s="1"/>
      <c r="W287" s="1"/>
      <c r="X287" s="1"/>
      <c r="Y287" s="1"/>
      <c r="Z287" s="1"/>
      <c r="AA287" s="1"/>
      <c r="AB287" s="1"/>
      <c r="AC287">
        <v>0</v>
      </c>
      <c r="AD287">
        <v>0</v>
      </c>
      <c r="AE287">
        <v>0</v>
      </c>
      <c r="AF287">
        <v>0</v>
      </c>
      <c r="AG287">
        <v>0</v>
      </c>
      <c r="AH287">
        <v>0</v>
      </c>
      <c r="AI287">
        <v>0</v>
      </c>
      <c r="AJ287">
        <v>0</v>
      </c>
      <c r="AK287">
        <v>0</v>
      </c>
      <c r="AL287">
        <v>0</v>
      </c>
      <c r="AM287">
        <v>0</v>
      </c>
      <c r="AN287">
        <v>1</v>
      </c>
      <c r="AO287">
        <v>0</v>
      </c>
      <c r="AP287">
        <v>0</v>
      </c>
      <c r="AQ287">
        <v>0</v>
      </c>
      <c r="AR287">
        <v>17</v>
      </c>
      <c r="AS287" t="s">
        <v>2586</v>
      </c>
    </row>
    <row r="288" spans="1:45" x14ac:dyDescent="0.25">
      <c r="A288">
        <v>51</v>
      </c>
      <c r="B288" t="str">
        <f>VLOOKUP(A288,'model groups'!$A$3:$C$86,2,FALSE)</f>
        <v>reef planktivores</v>
      </c>
      <c r="C288" t="s">
        <v>881</v>
      </c>
      <c r="D288" t="s">
        <v>882</v>
      </c>
      <c r="E288" t="s">
        <v>882</v>
      </c>
      <c r="G288" t="s">
        <v>195</v>
      </c>
      <c r="H288" t="s">
        <v>196</v>
      </c>
      <c r="I288" t="s">
        <v>337</v>
      </c>
      <c r="J288" t="s">
        <v>883</v>
      </c>
      <c r="K288" t="s">
        <v>884</v>
      </c>
      <c r="L288">
        <v>1.5744053410000001</v>
      </c>
      <c r="N288">
        <v>13.81120759</v>
      </c>
      <c r="P288">
        <v>19.04</v>
      </c>
      <c r="Q288">
        <v>1.293117093</v>
      </c>
      <c r="R288" t="s">
        <v>70</v>
      </c>
      <c r="S288" t="s">
        <v>77</v>
      </c>
      <c r="T288" t="str">
        <f t="shared" si="9"/>
        <v>reef</v>
      </c>
      <c r="U288" s="1"/>
      <c r="V288" s="1"/>
      <c r="W288" s="1"/>
      <c r="X288" s="1"/>
      <c r="Y288" s="1"/>
      <c r="Z288" s="1"/>
      <c r="AA288" s="1"/>
      <c r="AB288" s="1"/>
      <c r="AG288">
        <v>0</v>
      </c>
      <c r="AH288">
        <v>0</v>
      </c>
      <c r="AI288">
        <v>0</v>
      </c>
      <c r="AJ288">
        <v>0</v>
      </c>
      <c r="AK288">
        <v>0</v>
      </c>
      <c r="AL288">
        <v>0</v>
      </c>
      <c r="AM288">
        <v>0</v>
      </c>
      <c r="AN288">
        <v>1</v>
      </c>
      <c r="AO288">
        <v>0</v>
      </c>
      <c r="AP288">
        <v>0</v>
      </c>
      <c r="AQ288">
        <v>0</v>
      </c>
      <c r="AR288">
        <v>17</v>
      </c>
      <c r="AS288" t="s">
        <v>2586</v>
      </c>
    </row>
    <row r="289" spans="1:45" x14ac:dyDescent="0.25">
      <c r="A289">
        <v>51</v>
      </c>
      <c r="B289" t="str">
        <f>VLOOKUP(A289,'model groups'!$A$3:$C$86,2,FALSE)</f>
        <v>reef planktivores</v>
      </c>
      <c r="C289" t="s">
        <v>885</v>
      </c>
      <c r="D289" t="s">
        <v>886</v>
      </c>
      <c r="E289" t="s">
        <v>886</v>
      </c>
      <c r="G289" t="s">
        <v>195</v>
      </c>
      <c r="H289" t="s">
        <v>196</v>
      </c>
      <c r="I289" t="s">
        <v>337</v>
      </c>
      <c r="J289" t="s">
        <v>887</v>
      </c>
      <c r="K289" t="s">
        <v>888</v>
      </c>
      <c r="L289">
        <v>0.51931400000000005</v>
      </c>
      <c r="M289">
        <v>9.7954278499999994</v>
      </c>
      <c r="N289">
        <v>37</v>
      </c>
      <c r="O289">
        <v>3.22</v>
      </c>
      <c r="P289">
        <v>38.14</v>
      </c>
      <c r="Q289">
        <v>2.5524100000000001</v>
      </c>
      <c r="R289" t="s">
        <v>70</v>
      </c>
      <c r="S289" t="s">
        <v>77</v>
      </c>
      <c r="T289" t="str">
        <f t="shared" si="9"/>
        <v>reef</v>
      </c>
      <c r="U289" s="1">
        <v>6.0060062524987454E-3</v>
      </c>
      <c r="V289" s="1">
        <v>0.15215214760584408</v>
      </c>
      <c r="W289" s="1">
        <v>7.7077075245405566E-2</v>
      </c>
      <c r="X289" s="1">
        <v>0</v>
      </c>
      <c r="Y289" s="1">
        <v>0</v>
      </c>
      <c r="Z289" s="1">
        <v>0</v>
      </c>
      <c r="AA289" s="1">
        <v>0.12212212034735435</v>
      </c>
      <c r="AB289" s="1">
        <v>0.64264265054889724</v>
      </c>
      <c r="AC289">
        <v>0</v>
      </c>
      <c r="AD289">
        <v>0</v>
      </c>
      <c r="AE289">
        <v>0</v>
      </c>
      <c r="AF289">
        <v>0</v>
      </c>
      <c r="AG289">
        <v>0</v>
      </c>
      <c r="AH289">
        <v>0</v>
      </c>
      <c r="AI289">
        <v>0</v>
      </c>
      <c r="AJ289">
        <v>0</v>
      </c>
      <c r="AK289">
        <v>0</v>
      </c>
      <c r="AL289">
        <v>0</v>
      </c>
      <c r="AM289">
        <v>0</v>
      </c>
      <c r="AN289">
        <v>1</v>
      </c>
      <c r="AO289">
        <v>0</v>
      </c>
      <c r="AP289">
        <v>0</v>
      </c>
      <c r="AQ289">
        <v>0</v>
      </c>
      <c r="AR289">
        <v>17</v>
      </c>
      <c r="AS289" t="s">
        <v>2586</v>
      </c>
    </row>
    <row r="290" spans="1:45" x14ac:dyDescent="0.25">
      <c r="A290">
        <v>51</v>
      </c>
      <c r="B290" t="str">
        <f>VLOOKUP(A290,'model groups'!$A$3:$C$86,2,FALSE)</f>
        <v>reef planktivores</v>
      </c>
      <c r="C290" t="s">
        <v>889</v>
      </c>
      <c r="D290" t="s">
        <v>890</v>
      </c>
      <c r="E290" t="s">
        <v>890</v>
      </c>
      <c r="G290" t="s">
        <v>195</v>
      </c>
      <c r="H290" t="s">
        <v>196</v>
      </c>
      <c r="I290" t="s">
        <v>337</v>
      </c>
      <c r="J290" t="s">
        <v>891</v>
      </c>
      <c r="K290" t="s">
        <v>892</v>
      </c>
      <c r="L290">
        <v>0.45594000000000001</v>
      </c>
      <c r="N290">
        <v>21.10297181</v>
      </c>
      <c r="P290">
        <v>22.13</v>
      </c>
      <c r="Q290">
        <v>1.235495</v>
      </c>
      <c r="R290" t="s">
        <v>70</v>
      </c>
      <c r="S290" t="s">
        <v>109</v>
      </c>
      <c r="T290" t="str">
        <f t="shared" si="9"/>
        <v>reef</v>
      </c>
      <c r="U290" s="1"/>
      <c r="V290" s="1"/>
      <c r="W290" s="1"/>
      <c r="X290" s="1"/>
      <c r="Y290" s="1"/>
      <c r="Z290" s="1"/>
      <c r="AA290" s="1"/>
      <c r="AB290" s="1"/>
      <c r="AG290">
        <v>0</v>
      </c>
      <c r="AH290">
        <v>0</v>
      </c>
      <c r="AI290">
        <v>0</v>
      </c>
      <c r="AJ290">
        <v>0</v>
      </c>
      <c r="AK290">
        <v>0</v>
      </c>
      <c r="AL290">
        <v>0</v>
      </c>
      <c r="AM290">
        <v>0</v>
      </c>
      <c r="AN290">
        <v>1</v>
      </c>
      <c r="AO290">
        <v>0</v>
      </c>
      <c r="AP290">
        <v>0</v>
      </c>
      <c r="AQ290">
        <v>0</v>
      </c>
      <c r="AR290">
        <v>17</v>
      </c>
      <c r="AS290" t="s">
        <v>2586</v>
      </c>
    </row>
    <row r="291" spans="1:45" x14ac:dyDescent="0.25">
      <c r="A291">
        <v>51</v>
      </c>
      <c r="B291" t="str">
        <f>VLOOKUP(A291,'model groups'!$A$3:$C$86,2,FALSE)</f>
        <v>reef planktivores</v>
      </c>
      <c r="C291" t="s">
        <v>893</v>
      </c>
      <c r="D291" t="s">
        <v>894</v>
      </c>
      <c r="E291" t="s">
        <v>894</v>
      </c>
      <c r="G291" t="s">
        <v>195</v>
      </c>
      <c r="H291" t="s">
        <v>196</v>
      </c>
      <c r="I291" t="s">
        <v>337</v>
      </c>
      <c r="J291" t="s">
        <v>895</v>
      </c>
      <c r="K291" t="s">
        <v>896</v>
      </c>
      <c r="L291">
        <v>1.1981004040000001</v>
      </c>
      <c r="N291">
        <v>21.10297181</v>
      </c>
      <c r="P291">
        <v>24.95</v>
      </c>
      <c r="Q291">
        <v>1.4740800000000001</v>
      </c>
      <c r="R291" t="s">
        <v>70</v>
      </c>
      <c r="S291" t="s">
        <v>109</v>
      </c>
      <c r="T291" t="str">
        <f t="shared" si="9"/>
        <v>reef</v>
      </c>
      <c r="U291" s="1"/>
      <c r="V291" s="1"/>
      <c r="W291" s="1"/>
      <c r="X291" s="1"/>
      <c r="Y291" s="1"/>
      <c r="Z291" s="1"/>
      <c r="AA291" s="1"/>
      <c r="AB291" s="1"/>
      <c r="AC291">
        <v>0</v>
      </c>
      <c r="AD291">
        <v>0</v>
      </c>
      <c r="AE291">
        <v>0</v>
      </c>
      <c r="AF291">
        <v>1</v>
      </c>
      <c r="AG291">
        <v>0</v>
      </c>
      <c r="AH291">
        <v>0</v>
      </c>
      <c r="AI291">
        <v>0</v>
      </c>
      <c r="AJ291">
        <v>0</v>
      </c>
      <c r="AK291">
        <v>1</v>
      </c>
      <c r="AL291">
        <v>0</v>
      </c>
      <c r="AM291">
        <v>1</v>
      </c>
      <c r="AN291">
        <v>1</v>
      </c>
      <c r="AO291">
        <v>0</v>
      </c>
      <c r="AP291">
        <v>0</v>
      </c>
      <c r="AQ291">
        <v>0</v>
      </c>
      <c r="AR291">
        <v>17</v>
      </c>
      <c r="AS291" t="s">
        <v>2586</v>
      </c>
    </row>
    <row r="292" spans="1:45" x14ac:dyDescent="0.25">
      <c r="A292">
        <v>51</v>
      </c>
      <c r="B292" t="str">
        <f>VLOOKUP(A292,'model groups'!$A$3:$C$86,2,FALSE)</f>
        <v>reef planktivores</v>
      </c>
      <c r="D292" t="s">
        <v>897</v>
      </c>
      <c r="E292" t="s">
        <v>897</v>
      </c>
      <c r="G292" t="s">
        <v>241</v>
      </c>
      <c r="H292" t="s">
        <v>196</v>
      </c>
      <c r="I292" t="s">
        <v>337</v>
      </c>
      <c r="J292" t="s">
        <v>895</v>
      </c>
      <c r="K292" t="s">
        <v>898</v>
      </c>
      <c r="AR292">
        <v>17</v>
      </c>
      <c r="AS292" t="s">
        <v>2586</v>
      </c>
    </row>
    <row r="293" spans="1:45" x14ac:dyDescent="0.25">
      <c r="A293">
        <v>51</v>
      </c>
      <c r="B293" t="str">
        <f>VLOOKUP(A293,'model groups'!$A$3:$C$86,2,FALSE)</f>
        <v>reef planktivores</v>
      </c>
      <c r="D293" t="s">
        <v>899</v>
      </c>
      <c r="E293" t="s">
        <v>899</v>
      </c>
      <c r="G293" t="s">
        <v>241</v>
      </c>
      <c r="H293" t="s">
        <v>196</v>
      </c>
      <c r="I293" t="s">
        <v>337</v>
      </c>
      <c r="J293" t="s">
        <v>900</v>
      </c>
      <c r="K293" t="s">
        <v>901</v>
      </c>
      <c r="AR293">
        <v>17</v>
      </c>
      <c r="AS293" t="s">
        <v>2586</v>
      </c>
    </row>
    <row r="294" spans="1:45" x14ac:dyDescent="0.25">
      <c r="A294">
        <v>51</v>
      </c>
      <c r="B294" t="str">
        <f>VLOOKUP(A294,'model groups'!$A$3:$C$86,2,FALSE)</f>
        <v>reef planktivores</v>
      </c>
      <c r="C294" t="s">
        <v>902</v>
      </c>
      <c r="D294" t="s">
        <v>903</v>
      </c>
      <c r="E294" t="s">
        <v>903</v>
      </c>
      <c r="G294" t="s">
        <v>195</v>
      </c>
      <c r="H294" t="s">
        <v>196</v>
      </c>
      <c r="I294" t="s">
        <v>337</v>
      </c>
      <c r="J294" t="s">
        <v>706</v>
      </c>
      <c r="K294" t="s">
        <v>904</v>
      </c>
      <c r="L294">
        <v>1.987814127</v>
      </c>
      <c r="M294">
        <v>14.514081709999999</v>
      </c>
      <c r="N294">
        <v>9.6176740299999999</v>
      </c>
      <c r="O294">
        <v>3.5416666669999999</v>
      </c>
      <c r="P294">
        <v>13.37</v>
      </c>
      <c r="Q294">
        <v>1.1890046000000001</v>
      </c>
      <c r="R294" t="s">
        <v>70</v>
      </c>
      <c r="S294" t="s">
        <v>77</v>
      </c>
      <c r="T294" t="str">
        <f>IF(OR(AK294=1,AN294=1),"reef","no")</f>
        <v>reef</v>
      </c>
      <c r="U294" s="1">
        <v>0</v>
      </c>
      <c r="V294" s="1">
        <v>0</v>
      </c>
      <c r="W294" s="1">
        <v>0</v>
      </c>
      <c r="X294" s="1">
        <v>0</v>
      </c>
      <c r="Y294" s="1">
        <v>0</v>
      </c>
      <c r="Z294" s="1">
        <v>0</v>
      </c>
      <c r="AA294" s="1">
        <v>0</v>
      </c>
      <c r="AB294" s="1">
        <v>1</v>
      </c>
      <c r="AC294">
        <v>1</v>
      </c>
      <c r="AD294">
        <v>1</v>
      </c>
      <c r="AE294">
        <v>1</v>
      </c>
      <c r="AF294">
        <v>0</v>
      </c>
      <c r="AG294">
        <v>0</v>
      </c>
      <c r="AH294">
        <v>0</v>
      </c>
      <c r="AI294">
        <v>0</v>
      </c>
      <c r="AJ294">
        <v>0</v>
      </c>
      <c r="AK294">
        <v>1</v>
      </c>
      <c r="AL294">
        <v>0</v>
      </c>
      <c r="AM294">
        <v>0</v>
      </c>
      <c r="AN294">
        <v>0</v>
      </c>
      <c r="AO294">
        <v>0</v>
      </c>
      <c r="AP294">
        <v>0</v>
      </c>
      <c r="AQ294">
        <v>0</v>
      </c>
      <c r="AR294">
        <v>17</v>
      </c>
      <c r="AS294" t="s">
        <v>2586</v>
      </c>
    </row>
    <row r="295" spans="1:45" x14ac:dyDescent="0.25">
      <c r="A295">
        <v>51</v>
      </c>
      <c r="B295" t="str">
        <f>VLOOKUP(A295,'model groups'!$A$3:$C$86,2,FALSE)</f>
        <v>reef planktivores</v>
      </c>
      <c r="C295" t="s">
        <v>905</v>
      </c>
      <c r="D295" t="s">
        <v>906</v>
      </c>
      <c r="E295" t="s">
        <v>906</v>
      </c>
      <c r="G295" t="s">
        <v>195</v>
      </c>
      <c r="H295" t="s">
        <v>196</v>
      </c>
      <c r="I295" t="s">
        <v>337</v>
      </c>
      <c r="J295" t="s">
        <v>706</v>
      </c>
      <c r="K295" t="s">
        <v>907</v>
      </c>
      <c r="L295">
        <v>1.859357836</v>
      </c>
      <c r="M295">
        <v>13.65097102</v>
      </c>
      <c r="N295">
        <v>10.668417420000001</v>
      </c>
      <c r="O295">
        <v>3.5416666669999999</v>
      </c>
      <c r="P295">
        <v>14.62</v>
      </c>
      <c r="Q295">
        <v>1.1890046000000001</v>
      </c>
      <c r="R295" t="s">
        <v>70</v>
      </c>
      <c r="S295" t="s">
        <v>77</v>
      </c>
      <c r="T295" t="str">
        <f>IF(OR(AK295=1,AN295=1),"reef","no")</f>
        <v>reef</v>
      </c>
      <c r="U295" s="1">
        <v>0</v>
      </c>
      <c r="V295" s="1">
        <v>0</v>
      </c>
      <c r="W295" s="1">
        <v>0</v>
      </c>
      <c r="X295" s="1">
        <v>0</v>
      </c>
      <c r="Y295" s="1">
        <v>0</v>
      </c>
      <c r="Z295" s="1">
        <v>0</v>
      </c>
      <c r="AA295" s="1">
        <v>0</v>
      </c>
      <c r="AB295" s="1">
        <v>1</v>
      </c>
      <c r="AC295">
        <v>1</v>
      </c>
      <c r="AD295">
        <v>1</v>
      </c>
      <c r="AE295">
        <v>1</v>
      </c>
      <c r="AF295">
        <v>0</v>
      </c>
      <c r="AG295">
        <v>1</v>
      </c>
      <c r="AH295">
        <v>0</v>
      </c>
      <c r="AI295">
        <v>0</v>
      </c>
      <c r="AJ295">
        <v>0</v>
      </c>
      <c r="AK295">
        <v>1</v>
      </c>
      <c r="AL295">
        <v>0</v>
      </c>
      <c r="AM295">
        <v>0</v>
      </c>
      <c r="AN295">
        <v>0</v>
      </c>
      <c r="AO295">
        <v>0</v>
      </c>
      <c r="AP295">
        <v>0</v>
      </c>
      <c r="AQ295">
        <v>0</v>
      </c>
      <c r="AR295">
        <v>17</v>
      </c>
      <c r="AS295" t="s">
        <v>2586</v>
      </c>
    </row>
    <row r="296" spans="1:45" x14ac:dyDescent="0.25">
      <c r="A296">
        <v>51</v>
      </c>
      <c r="B296" t="str">
        <f>VLOOKUP(A296,'model groups'!$A$3:$C$86,2,FALSE)</f>
        <v>reef planktivores</v>
      </c>
      <c r="C296" t="s">
        <v>908</v>
      </c>
      <c r="D296" t="s">
        <v>909</v>
      </c>
      <c r="E296" t="s">
        <v>909</v>
      </c>
      <c r="G296" t="s">
        <v>195</v>
      </c>
      <c r="H296" t="s">
        <v>196</v>
      </c>
      <c r="I296" t="s">
        <v>337</v>
      </c>
      <c r="J296" t="s">
        <v>706</v>
      </c>
      <c r="K296" t="s">
        <v>910</v>
      </c>
      <c r="L296">
        <v>1.1981004040000001</v>
      </c>
      <c r="M296">
        <v>9.3035091479999998</v>
      </c>
      <c r="N296">
        <v>21.10297181</v>
      </c>
      <c r="O296">
        <v>3.5</v>
      </c>
      <c r="P296">
        <v>24.95</v>
      </c>
      <c r="Q296">
        <v>1.2557750000000001</v>
      </c>
      <c r="R296" t="s">
        <v>70</v>
      </c>
      <c r="S296" t="s">
        <v>77</v>
      </c>
      <c r="T296" t="str">
        <f>IF(OR(AK296=1,AN296=1),"reef","no")</f>
        <v>reef</v>
      </c>
      <c r="U296" s="1">
        <v>0</v>
      </c>
      <c r="V296" s="1">
        <v>0</v>
      </c>
      <c r="W296" s="1">
        <v>0</v>
      </c>
      <c r="X296" s="1">
        <v>0</v>
      </c>
      <c r="Y296" s="1">
        <v>0</v>
      </c>
      <c r="Z296" s="1">
        <v>0</v>
      </c>
      <c r="AA296" s="1">
        <v>0</v>
      </c>
      <c r="AB296" s="1">
        <v>1</v>
      </c>
      <c r="AC296">
        <v>0</v>
      </c>
      <c r="AD296">
        <v>1</v>
      </c>
      <c r="AE296">
        <v>0</v>
      </c>
      <c r="AF296">
        <v>0</v>
      </c>
      <c r="AG296">
        <v>1</v>
      </c>
      <c r="AH296">
        <v>0</v>
      </c>
      <c r="AI296">
        <v>0</v>
      </c>
      <c r="AJ296">
        <v>0</v>
      </c>
      <c r="AK296">
        <v>1</v>
      </c>
      <c r="AL296">
        <v>0</v>
      </c>
      <c r="AM296">
        <v>0</v>
      </c>
      <c r="AN296">
        <v>1</v>
      </c>
      <c r="AO296">
        <v>0</v>
      </c>
      <c r="AP296">
        <v>0</v>
      </c>
      <c r="AQ296">
        <v>0</v>
      </c>
      <c r="AR296">
        <v>17</v>
      </c>
      <c r="AS296" t="s">
        <v>2586</v>
      </c>
    </row>
    <row r="297" spans="1:45" x14ac:dyDescent="0.25">
      <c r="A297">
        <v>51</v>
      </c>
      <c r="B297" t="str">
        <f>VLOOKUP(A297,'model groups'!$A$3:$C$86,2,FALSE)</f>
        <v>reef planktivores</v>
      </c>
      <c r="D297" t="s">
        <v>362</v>
      </c>
      <c r="E297" t="s">
        <v>362</v>
      </c>
      <c r="G297" t="s">
        <v>195</v>
      </c>
      <c r="H297" t="s">
        <v>196</v>
      </c>
      <c r="I297" t="s">
        <v>337</v>
      </c>
      <c r="T297" t="str">
        <f>IF(OR(AK297=1,AN297=1),"reef","no")</f>
        <v>reef</v>
      </c>
      <c r="U297" s="1"/>
      <c r="V297" s="1"/>
      <c r="W297" s="1"/>
      <c r="X297" s="1"/>
      <c r="Y297" s="1"/>
      <c r="Z297" s="1"/>
      <c r="AA297" s="1"/>
      <c r="AB297" s="1"/>
      <c r="AG297">
        <v>0</v>
      </c>
      <c r="AH297">
        <v>0</v>
      </c>
      <c r="AI297">
        <v>0</v>
      </c>
      <c r="AJ297">
        <v>0</v>
      </c>
      <c r="AK297">
        <v>0</v>
      </c>
      <c r="AL297">
        <v>0</v>
      </c>
      <c r="AM297">
        <v>0</v>
      </c>
      <c r="AN297">
        <v>1</v>
      </c>
      <c r="AO297">
        <v>0</v>
      </c>
      <c r="AP297">
        <v>0</v>
      </c>
      <c r="AQ297">
        <v>1</v>
      </c>
      <c r="AR297">
        <v>17</v>
      </c>
      <c r="AS297" t="s">
        <v>2586</v>
      </c>
    </row>
    <row r="298" spans="1:45" x14ac:dyDescent="0.25">
      <c r="A298">
        <v>52</v>
      </c>
      <c r="B298" t="str">
        <f>VLOOKUP(A298,'model groups'!$A$3:$C$86,2,FALSE)</f>
        <v>coastal piscivores</v>
      </c>
      <c r="C298" t="s">
        <v>911</v>
      </c>
      <c r="D298" t="s">
        <v>912</v>
      </c>
      <c r="E298" t="s">
        <v>912</v>
      </c>
      <c r="G298" t="s">
        <v>241</v>
      </c>
      <c r="H298" t="s">
        <v>209</v>
      </c>
      <c r="I298" t="s">
        <v>197</v>
      </c>
      <c r="J298" t="s">
        <v>913</v>
      </c>
      <c r="AR298">
        <v>2</v>
      </c>
      <c r="AS298" t="s">
        <v>2227</v>
      </c>
    </row>
    <row r="299" spans="1:45" x14ac:dyDescent="0.25">
      <c r="A299">
        <v>52</v>
      </c>
      <c r="B299" t="str">
        <f>VLOOKUP(A299,'model groups'!$A$3:$C$86,2,FALSE)</f>
        <v>coastal piscivores</v>
      </c>
      <c r="C299" t="s">
        <v>914</v>
      </c>
      <c r="D299" t="s">
        <v>915</v>
      </c>
      <c r="E299" t="s">
        <v>915</v>
      </c>
      <c r="G299" t="s">
        <v>195</v>
      </c>
      <c r="H299" t="s">
        <v>196</v>
      </c>
      <c r="I299" t="s">
        <v>197</v>
      </c>
      <c r="J299" t="s">
        <v>916</v>
      </c>
      <c r="K299" t="s">
        <v>917</v>
      </c>
      <c r="L299">
        <v>0.55568700999999998</v>
      </c>
      <c r="M299">
        <v>6.4121830124999999</v>
      </c>
      <c r="N299">
        <v>72.40373683</v>
      </c>
      <c r="O299">
        <v>4</v>
      </c>
      <c r="P299">
        <v>34.26</v>
      </c>
      <c r="Q299">
        <v>3.3622800000000002</v>
      </c>
      <c r="R299" t="s">
        <v>50</v>
      </c>
      <c r="S299" t="s">
        <v>51</v>
      </c>
      <c r="T299" t="str">
        <f>IF(OR(AK299=1,AN299=1),"reef","no")</f>
        <v>reef</v>
      </c>
      <c r="U299" s="1">
        <v>0.66385461995234396</v>
      </c>
      <c r="V299" s="1">
        <v>3.1677226126406922E-2</v>
      </c>
      <c r="W299" s="1">
        <v>4.0013338656644578E-3</v>
      </c>
      <c r="X299" s="1">
        <v>0</v>
      </c>
      <c r="Y299" s="1">
        <v>1.0003334864227835E-3</v>
      </c>
      <c r="Z299" s="1">
        <v>2.3341113316075902E-3</v>
      </c>
      <c r="AA299" s="1">
        <v>4.0013339456911341E-3</v>
      </c>
      <c r="AB299" s="1">
        <v>0.29313104129186307</v>
      </c>
      <c r="AC299">
        <v>0</v>
      </c>
      <c r="AD299">
        <v>0</v>
      </c>
      <c r="AE299">
        <v>1</v>
      </c>
      <c r="AF299">
        <v>0</v>
      </c>
      <c r="AG299">
        <v>1</v>
      </c>
      <c r="AH299">
        <v>0</v>
      </c>
      <c r="AI299">
        <v>0</v>
      </c>
      <c r="AJ299">
        <v>0</v>
      </c>
      <c r="AK299">
        <v>1</v>
      </c>
      <c r="AL299">
        <v>0</v>
      </c>
      <c r="AM299">
        <v>1</v>
      </c>
      <c r="AN299">
        <v>1</v>
      </c>
      <c r="AO299">
        <v>1</v>
      </c>
      <c r="AP299">
        <v>0</v>
      </c>
      <c r="AQ299">
        <v>1</v>
      </c>
      <c r="AR299">
        <v>2</v>
      </c>
      <c r="AS299" t="s">
        <v>2227</v>
      </c>
    </row>
    <row r="300" spans="1:45" x14ac:dyDescent="0.25">
      <c r="A300">
        <v>52</v>
      </c>
      <c r="B300" t="str">
        <f>VLOOKUP(A300,'model groups'!$A$3:$C$86,2,FALSE)</f>
        <v>coastal piscivores</v>
      </c>
      <c r="C300" t="s">
        <v>918</v>
      </c>
      <c r="D300" t="s">
        <v>919</v>
      </c>
      <c r="E300" t="s">
        <v>919</v>
      </c>
      <c r="G300" t="s">
        <v>195</v>
      </c>
      <c r="H300" t="s">
        <v>196</v>
      </c>
      <c r="I300" t="s">
        <v>197</v>
      </c>
      <c r="J300" t="s">
        <v>916</v>
      </c>
      <c r="K300" t="s">
        <v>920</v>
      </c>
      <c r="L300">
        <v>0.37676695300000002</v>
      </c>
      <c r="M300">
        <v>4.8617913220000002</v>
      </c>
      <c r="N300">
        <v>127.09728699999999</v>
      </c>
      <c r="O300">
        <v>3.6566666670000001</v>
      </c>
      <c r="P300">
        <v>41.43</v>
      </c>
      <c r="Q300">
        <v>3.4132799999999999</v>
      </c>
      <c r="R300" t="s">
        <v>50</v>
      </c>
      <c r="S300" t="s">
        <v>51</v>
      </c>
      <c r="T300" t="str">
        <f>IF(OR(AK300=1,AN300=1),"reef","no")</f>
        <v>no</v>
      </c>
      <c r="U300" s="1">
        <v>0.162966666707059</v>
      </c>
      <c r="V300" s="1">
        <v>0.53803332682987115</v>
      </c>
      <c r="W300" s="1">
        <v>2.9999998777900019E-3</v>
      </c>
      <c r="X300" s="1">
        <v>0</v>
      </c>
      <c r="Y300" s="1">
        <v>2.0000000518599994E-3</v>
      </c>
      <c r="Z300" s="1">
        <v>0</v>
      </c>
      <c r="AA300" s="1">
        <v>1.9333333697979994E-2</v>
      </c>
      <c r="AB300" s="1">
        <v>0.27466667283543988</v>
      </c>
      <c r="AC300">
        <v>0</v>
      </c>
      <c r="AD300">
        <v>0</v>
      </c>
      <c r="AE300">
        <v>0</v>
      </c>
      <c r="AF300">
        <v>0</v>
      </c>
      <c r="AG300">
        <v>0</v>
      </c>
      <c r="AH300">
        <v>1</v>
      </c>
      <c r="AI300">
        <v>0</v>
      </c>
      <c r="AJ300">
        <v>0</v>
      </c>
      <c r="AK300">
        <v>0</v>
      </c>
      <c r="AL300">
        <v>0</v>
      </c>
      <c r="AM300">
        <v>1</v>
      </c>
      <c r="AN300">
        <v>0</v>
      </c>
      <c r="AO300">
        <v>1</v>
      </c>
      <c r="AP300">
        <v>0</v>
      </c>
      <c r="AQ300">
        <v>1</v>
      </c>
      <c r="AR300">
        <v>2</v>
      </c>
      <c r="AS300" t="s">
        <v>2227</v>
      </c>
    </row>
    <row r="301" spans="1:45" x14ac:dyDescent="0.25">
      <c r="A301">
        <v>52</v>
      </c>
      <c r="B301" t="str">
        <f>VLOOKUP(A301,'model groups'!$A$3:$C$86,2,FALSE)</f>
        <v>coastal piscivores</v>
      </c>
      <c r="C301" t="s">
        <v>921</v>
      </c>
      <c r="D301" t="s">
        <v>922</v>
      </c>
      <c r="E301" t="s">
        <v>922</v>
      </c>
      <c r="G301" t="s">
        <v>195</v>
      </c>
      <c r="H301" t="s">
        <v>196</v>
      </c>
      <c r="I301" t="s">
        <v>923</v>
      </c>
      <c r="J301" t="s">
        <v>924</v>
      </c>
      <c r="K301" t="s">
        <v>925</v>
      </c>
      <c r="L301">
        <v>0.34886230400000001</v>
      </c>
      <c r="M301">
        <v>3.9122410875</v>
      </c>
      <c r="N301">
        <v>143.2203069</v>
      </c>
      <c r="O301">
        <v>4.2233333330000002</v>
      </c>
      <c r="P301">
        <v>45.7</v>
      </c>
      <c r="Q301">
        <v>1.90693</v>
      </c>
      <c r="R301" t="s">
        <v>50</v>
      </c>
      <c r="S301" t="s">
        <v>77</v>
      </c>
      <c r="T301" t="str">
        <f>IF(OR(AK301=1,AN301=1),"reef","no")</f>
        <v>no</v>
      </c>
      <c r="U301" s="1">
        <v>0.6694333362536633</v>
      </c>
      <c r="V301" s="1">
        <v>0.3305666637463367</v>
      </c>
      <c r="W301" s="1">
        <v>0</v>
      </c>
      <c r="X301" s="1">
        <v>0</v>
      </c>
      <c r="Y301" s="1">
        <v>0</v>
      </c>
      <c r="Z301" s="1">
        <v>0</v>
      </c>
      <c r="AA301" s="1">
        <v>0</v>
      </c>
      <c r="AB301" s="1">
        <v>0</v>
      </c>
      <c r="AC301">
        <v>0</v>
      </c>
      <c r="AD301">
        <v>0</v>
      </c>
      <c r="AE301">
        <v>0</v>
      </c>
      <c r="AF301">
        <v>0</v>
      </c>
      <c r="AG301">
        <v>0</v>
      </c>
      <c r="AH301">
        <v>0</v>
      </c>
      <c r="AI301">
        <v>0</v>
      </c>
      <c r="AJ301">
        <v>0</v>
      </c>
      <c r="AK301">
        <v>0</v>
      </c>
      <c r="AL301">
        <v>1</v>
      </c>
      <c r="AM301">
        <v>0</v>
      </c>
      <c r="AN301">
        <v>0</v>
      </c>
      <c r="AO301">
        <v>1</v>
      </c>
      <c r="AP301">
        <v>0</v>
      </c>
      <c r="AQ301">
        <v>1</v>
      </c>
      <c r="AR301">
        <v>2</v>
      </c>
      <c r="AS301" t="s">
        <v>2227</v>
      </c>
    </row>
    <row r="302" spans="1:45" x14ac:dyDescent="0.25">
      <c r="A302">
        <v>52</v>
      </c>
      <c r="B302" t="str">
        <f>VLOOKUP(A302,'model groups'!$A$3:$C$86,2,FALSE)</f>
        <v>coastal piscivores</v>
      </c>
      <c r="C302" t="s">
        <v>926</v>
      </c>
      <c r="D302" t="s">
        <v>927</v>
      </c>
      <c r="E302" t="s">
        <v>927</v>
      </c>
      <c r="G302" t="s">
        <v>241</v>
      </c>
      <c r="H302" t="s">
        <v>379</v>
      </c>
      <c r="I302" t="s">
        <v>923</v>
      </c>
      <c r="J302" t="s">
        <v>924</v>
      </c>
      <c r="AR302">
        <v>2</v>
      </c>
      <c r="AS302" t="s">
        <v>2227</v>
      </c>
    </row>
    <row r="303" spans="1:45" x14ac:dyDescent="0.25">
      <c r="A303">
        <v>52</v>
      </c>
      <c r="B303" t="str">
        <f>VLOOKUP(A303,'model groups'!$A$3:$C$86,2,FALSE)</f>
        <v>coastal piscivores</v>
      </c>
      <c r="C303" t="s">
        <v>928</v>
      </c>
      <c r="D303" t="s">
        <v>929</v>
      </c>
      <c r="E303" t="s">
        <v>929</v>
      </c>
      <c r="G303" t="s">
        <v>195</v>
      </c>
      <c r="H303" t="s">
        <v>930</v>
      </c>
      <c r="I303" t="s">
        <v>931</v>
      </c>
      <c r="J303" t="s">
        <v>932</v>
      </c>
      <c r="K303" t="s">
        <v>933</v>
      </c>
      <c r="L303">
        <v>0.51931400000000005</v>
      </c>
      <c r="M303">
        <v>5.5318105425000006</v>
      </c>
      <c r="N303">
        <v>49</v>
      </c>
      <c r="O303">
        <v>3.8166666669999998</v>
      </c>
      <c r="P303">
        <v>37.86</v>
      </c>
      <c r="Q303">
        <v>0.89915100000000003</v>
      </c>
      <c r="R303" t="s">
        <v>50</v>
      </c>
      <c r="S303" t="s">
        <v>77</v>
      </c>
      <c r="T303" t="str">
        <f>IF(OR(AK303=1,AN303=1),"reef","no")</f>
        <v>no</v>
      </c>
      <c r="U303" s="1">
        <v>0.25814662021246881</v>
      </c>
      <c r="V303" s="1">
        <v>0.42572848788854784</v>
      </c>
      <c r="W303" s="1">
        <v>0</v>
      </c>
      <c r="X303" s="1">
        <v>0</v>
      </c>
      <c r="Y303" s="1">
        <v>0</v>
      </c>
      <c r="Z303" s="1">
        <v>0</v>
      </c>
      <c r="AA303" s="1">
        <v>0.10020441639117675</v>
      </c>
      <c r="AB303" s="1">
        <v>0.21592047550780655</v>
      </c>
      <c r="AC303">
        <v>1</v>
      </c>
      <c r="AD303">
        <v>0</v>
      </c>
      <c r="AE303">
        <v>0</v>
      </c>
      <c r="AF303">
        <v>0</v>
      </c>
      <c r="AG303">
        <v>0</v>
      </c>
      <c r="AH303">
        <v>0</v>
      </c>
      <c r="AI303">
        <v>0</v>
      </c>
      <c r="AJ303">
        <v>0</v>
      </c>
      <c r="AK303">
        <v>0</v>
      </c>
      <c r="AL303">
        <v>0</v>
      </c>
      <c r="AM303">
        <v>1</v>
      </c>
      <c r="AN303">
        <v>0</v>
      </c>
      <c r="AO303">
        <v>1</v>
      </c>
      <c r="AP303">
        <v>0</v>
      </c>
      <c r="AQ303">
        <v>1</v>
      </c>
      <c r="AR303">
        <v>2</v>
      </c>
      <c r="AS303" t="s">
        <v>2227</v>
      </c>
    </row>
    <row r="304" spans="1:45" x14ac:dyDescent="0.25">
      <c r="A304">
        <v>52</v>
      </c>
      <c r="B304" t="str">
        <f>VLOOKUP(A304,'model groups'!$A$3:$C$86,2,FALSE)</f>
        <v>coastal piscivores</v>
      </c>
      <c r="C304" t="s">
        <v>934</v>
      </c>
      <c r="D304" t="s">
        <v>935</v>
      </c>
      <c r="E304" t="s">
        <v>935</v>
      </c>
      <c r="G304" t="s">
        <v>195</v>
      </c>
      <c r="H304" t="s">
        <v>470</v>
      </c>
      <c r="I304" t="s">
        <v>471</v>
      </c>
      <c r="J304" t="s">
        <v>936</v>
      </c>
      <c r="K304" t="s">
        <v>937</v>
      </c>
      <c r="L304">
        <v>0.53655942700000003</v>
      </c>
      <c r="M304">
        <v>4.8818379375000003</v>
      </c>
      <c r="N304">
        <v>73.421514889999997</v>
      </c>
      <c r="O304">
        <v>3.5300000100000002</v>
      </c>
      <c r="P304">
        <v>53.87</v>
      </c>
      <c r="Q304">
        <v>1.475535</v>
      </c>
      <c r="R304" t="s">
        <v>70</v>
      </c>
      <c r="S304" t="s">
        <v>109</v>
      </c>
      <c r="T304" t="str">
        <f>IF(OR(AK304=1,AN304=1),"reef","no")</f>
        <v>reef</v>
      </c>
      <c r="U304" s="1">
        <v>0</v>
      </c>
      <c r="V304" s="1">
        <v>0.91900000038728002</v>
      </c>
      <c r="W304" s="1">
        <v>0</v>
      </c>
      <c r="X304" s="1">
        <v>1.9999999962400004E-3</v>
      </c>
      <c r="Y304" s="1">
        <v>0</v>
      </c>
      <c r="Z304" s="1">
        <v>0</v>
      </c>
      <c r="AA304" s="1">
        <v>0</v>
      </c>
      <c r="AB304" s="1">
        <v>7.8999999616480007E-2</v>
      </c>
      <c r="AC304">
        <v>0</v>
      </c>
      <c r="AD304">
        <v>0</v>
      </c>
      <c r="AE304">
        <v>0</v>
      </c>
      <c r="AF304">
        <v>0</v>
      </c>
      <c r="AG304">
        <v>1</v>
      </c>
      <c r="AH304">
        <v>0</v>
      </c>
      <c r="AI304">
        <v>0</v>
      </c>
      <c r="AJ304">
        <v>0</v>
      </c>
      <c r="AK304">
        <v>0</v>
      </c>
      <c r="AL304">
        <v>0</v>
      </c>
      <c r="AM304">
        <v>1</v>
      </c>
      <c r="AN304">
        <v>1</v>
      </c>
      <c r="AO304">
        <v>1</v>
      </c>
      <c r="AP304">
        <v>0</v>
      </c>
      <c r="AQ304">
        <v>0</v>
      </c>
      <c r="AR304">
        <v>2</v>
      </c>
      <c r="AS304" t="s">
        <v>2227</v>
      </c>
    </row>
    <row r="305" spans="1:45" x14ac:dyDescent="0.25">
      <c r="A305">
        <v>52</v>
      </c>
      <c r="B305" t="str">
        <f>VLOOKUP(A305,'model groups'!$A$3:$C$86,2,FALSE)</f>
        <v>coastal piscivores</v>
      </c>
      <c r="C305" t="s">
        <v>938</v>
      </c>
      <c r="D305" t="s">
        <v>939</v>
      </c>
      <c r="E305" t="s">
        <v>939</v>
      </c>
      <c r="G305" t="s">
        <v>195</v>
      </c>
      <c r="H305" t="s">
        <v>470</v>
      </c>
      <c r="I305" t="s">
        <v>471</v>
      </c>
      <c r="J305" t="s">
        <v>936</v>
      </c>
      <c r="K305" t="s">
        <v>940</v>
      </c>
      <c r="L305">
        <v>0.78636635799999999</v>
      </c>
      <c r="M305">
        <v>3.7320589995</v>
      </c>
      <c r="N305">
        <v>85.617935340000002</v>
      </c>
      <c r="O305">
        <v>3.5300000100000002</v>
      </c>
      <c r="P305">
        <v>43.52</v>
      </c>
      <c r="Q305">
        <v>1.0975200000000001</v>
      </c>
      <c r="R305" t="s">
        <v>50</v>
      </c>
      <c r="S305" t="s">
        <v>109</v>
      </c>
      <c r="T305" t="str">
        <f>IF(OR(AK305=1,AN305=1),"reef","no")</f>
        <v>no</v>
      </c>
      <c r="U305">
        <v>0</v>
      </c>
      <c r="V305">
        <v>0.91900000038728002</v>
      </c>
      <c r="W305">
        <v>0</v>
      </c>
      <c r="X305">
        <v>1.9999999962399999E-3</v>
      </c>
      <c r="Y305">
        <v>0</v>
      </c>
      <c r="Z305">
        <v>0</v>
      </c>
      <c r="AA305">
        <v>0</v>
      </c>
      <c r="AB305">
        <v>7.8999999616479993E-2</v>
      </c>
      <c r="AC305">
        <v>0</v>
      </c>
      <c r="AD305">
        <v>0</v>
      </c>
      <c r="AE305" t="s">
        <v>231</v>
      </c>
      <c r="AF305" t="s">
        <v>231</v>
      </c>
      <c r="AG305">
        <v>0</v>
      </c>
      <c r="AH305">
        <v>0</v>
      </c>
      <c r="AI305">
        <v>0</v>
      </c>
      <c r="AJ305">
        <v>0</v>
      </c>
      <c r="AK305">
        <v>0</v>
      </c>
      <c r="AL305">
        <v>0</v>
      </c>
      <c r="AM305">
        <v>0</v>
      </c>
      <c r="AN305">
        <v>0</v>
      </c>
      <c r="AO305">
        <v>0</v>
      </c>
      <c r="AP305">
        <v>0</v>
      </c>
      <c r="AQ305">
        <v>1</v>
      </c>
      <c r="AR305">
        <v>2</v>
      </c>
      <c r="AS305" t="s">
        <v>2227</v>
      </c>
    </row>
    <row r="306" spans="1:45" x14ac:dyDescent="0.25">
      <c r="A306">
        <v>52</v>
      </c>
      <c r="B306" t="str">
        <f>VLOOKUP(A306,'model groups'!$A$3:$C$86,2,FALSE)</f>
        <v>coastal piscivores</v>
      </c>
      <c r="D306" t="s">
        <v>942</v>
      </c>
      <c r="E306" t="s">
        <v>942</v>
      </c>
      <c r="G306" t="s">
        <v>241</v>
      </c>
      <c r="H306" t="s">
        <v>470</v>
      </c>
      <c r="I306" t="s">
        <v>471</v>
      </c>
      <c r="J306" t="s">
        <v>936</v>
      </c>
      <c r="K306" t="s">
        <v>943</v>
      </c>
      <c r="AR306">
        <v>2</v>
      </c>
      <c r="AS306" t="s">
        <v>2227</v>
      </c>
    </row>
    <row r="307" spans="1:45" x14ac:dyDescent="0.25">
      <c r="A307">
        <v>52</v>
      </c>
      <c r="B307" t="str">
        <f>VLOOKUP(A307,'model groups'!$A$3:$C$86,2,FALSE)</f>
        <v>coastal piscivores</v>
      </c>
      <c r="C307" t="s">
        <v>944</v>
      </c>
      <c r="D307" t="s">
        <v>945</v>
      </c>
      <c r="E307" t="s">
        <v>945</v>
      </c>
      <c r="G307" t="s">
        <v>241</v>
      </c>
      <c r="H307" t="s">
        <v>470</v>
      </c>
      <c r="I307" t="s">
        <v>471</v>
      </c>
      <c r="J307" t="s">
        <v>936</v>
      </c>
      <c r="AR307">
        <v>2</v>
      </c>
      <c r="AS307" t="s">
        <v>2227</v>
      </c>
    </row>
    <row r="308" spans="1:45" x14ac:dyDescent="0.25">
      <c r="A308">
        <v>52</v>
      </c>
      <c r="B308" t="str">
        <f>VLOOKUP(A308,'model groups'!$A$3:$C$86,2,FALSE)</f>
        <v>coastal piscivores</v>
      </c>
      <c r="C308" t="s">
        <v>946</v>
      </c>
      <c r="D308" t="s">
        <v>947</v>
      </c>
      <c r="E308" t="s">
        <v>947</v>
      </c>
      <c r="G308" t="s">
        <v>195</v>
      </c>
      <c r="H308" t="s">
        <v>196</v>
      </c>
      <c r="I308" t="s">
        <v>948</v>
      </c>
      <c r="J308" t="s">
        <v>949</v>
      </c>
      <c r="K308" t="s">
        <v>950</v>
      </c>
      <c r="L308">
        <v>0.32179836699999997</v>
      </c>
      <c r="M308">
        <v>4.7466796334999994</v>
      </c>
      <c r="N308">
        <v>93.466666669999995</v>
      </c>
      <c r="O308">
        <v>4.3133333330000001</v>
      </c>
      <c r="P308">
        <v>63.38</v>
      </c>
      <c r="Q308">
        <v>2.3904749999999999</v>
      </c>
      <c r="R308" t="s">
        <v>50</v>
      </c>
      <c r="S308" t="s">
        <v>51</v>
      </c>
      <c r="T308" t="str">
        <f>IF(OR(AK308=1,AN308=1),"reef","no")</f>
        <v>no</v>
      </c>
      <c r="U308" s="1">
        <v>0.72994117405686942</v>
      </c>
      <c r="V308" s="1">
        <v>4.6999999104740009E-2</v>
      </c>
      <c r="W308" s="1">
        <v>1.4117647035341177E-3</v>
      </c>
      <c r="X308" s="1">
        <v>1.7647059919176467E-4</v>
      </c>
      <c r="Y308" s="1">
        <v>0.11482352937410825</v>
      </c>
      <c r="Z308" s="1">
        <v>0</v>
      </c>
      <c r="AA308" s="1">
        <v>9.7117650205201175E-2</v>
      </c>
      <c r="AB308" s="1">
        <v>9.5294119563552951E-3</v>
      </c>
      <c r="AC308">
        <v>0</v>
      </c>
      <c r="AD308">
        <v>0</v>
      </c>
      <c r="AE308">
        <v>0</v>
      </c>
      <c r="AF308">
        <v>0</v>
      </c>
      <c r="AG308">
        <v>0</v>
      </c>
      <c r="AH308">
        <v>0</v>
      </c>
      <c r="AI308">
        <v>0</v>
      </c>
      <c r="AJ308">
        <v>0</v>
      </c>
      <c r="AK308">
        <v>0</v>
      </c>
      <c r="AL308">
        <v>0</v>
      </c>
      <c r="AM308">
        <v>1</v>
      </c>
      <c r="AN308">
        <v>0</v>
      </c>
      <c r="AO308">
        <v>1</v>
      </c>
      <c r="AP308">
        <v>0</v>
      </c>
      <c r="AQ308">
        <v>1</v>
      </c>
      <c r="AR308">
        <v>2</v>
      </c>
      <c r="AS308" t="s">
        <v>2227</v>
      </c>
    </row>
    <row r="309" spans="1:45" x14ac:dyDescent="0.25">
      <c r="A309">
        <v>52</v>
      </c>
      <c r="B309" t="str">
        <f>VLOOKUP(A309,'model groups'!$A$3:$C$86,2,FALSE)</f>
        <v>coastal piscivores</v>
      </c>
      <c r="C309" t="s">
        <v>951</v>
      </c>
      <c r="D309" t="s">
        <v>952</v>
      </c>
      <c r="E309" t="s">
        <v>952</v>
      </c>
      <c r="G309" t="s">
        <v>195</v>
      </c>
      <c r="H309" t="s">
        <v>196</v>
      </c>
      <c r="I309" t="s">
        <v>559</v>
      </c>
      <c r="J309" t="s">
        <v>953</v>
      </c>
      <c r="K309" t="s">
        <v>954</v>
      </c>
      <c r="L309">
        <v>0.42266864999999998</v>
      </c>
      <c r="M309">
        <v>5.0379908034999996</v>
      </c>
      <c r="N309">
        <v>69.966666669999995</v>
      </c>
      <c r="O309">
        <v>3.98</v>
      </c>
      <c r="P309">
        <v>58.44</v>
      </c>
      <c r="Q309">
        <v>1.4803500000000001</v>
      </c>
      <c r="R309" t="s">
        <v>50</v>
      </c>
      <c r="S309" t="s">
        <v>109</v>
      </c>
      <c r="T309" t="str">
        <f>IF(OR(AK309=1,AN309=1),"reef","no")</f>
        <v>no</v>
      </c>
      <c r="U309" s="1">
        <v>0.24901244483512244</v>
      </c>
      <c r="V309" s="1">
        <v>0.57332867735870507</v>
      </c>
      <c r="W309" s="1">
        <v>0</v>
      </c>
      <c r="X309" s="1">
        <v>3.4501725290940782E-2</v>
      </c>
      <c r="Y309" s="1">
        <v>0</v>
      </c>
      <c r="Z309" s="1">
        <v>0</v>
      </c>
      <c r="AA309" s="1">
        <v>0</v>
      </c>
      <c r="AB309" s="1">
        <v>0.1431571525152317</v>
      </c>
      <c r="AC309">
        <v>1</v>
      </c>
      <c r="AD309">
        <v>0</v>
      </c>
      <c r="AE309">
        <v>1</v>
      </c>
      <c r="AF309">
        <v>1</v>
      </c>
      <c r="AG309">
        <v>0</v>
      </c>
      <c r="AH309">
        <v>0</v>
      </c>
      <c r="AI309">
        <v>0</v>
      </c>
      <c r="AJ309">
        <v>0</v>
      </c>
      <c r="AK309">
        <v>0</v>
      </c>
      <c r="AL309">
        <v>0</v>
      </c>
      <c r="AM309">
        <v>0</v>
      </c>
      <c r="AN309">
        <v>0</v>
      </c>
      <c r="AO309">
        <v>1</v>
      </c>
      <c r="AP309">
        <v>0</v>
      </c>
      <c r="AQ309">
        <v>1</v>
      </c>
      <c r="AR309">
        <v>2</v>
      </c>
      <c r="AS309" t="s">
        <v>2227</v>
      </c>
    </row>
    <row r="310" spans="1:45" x14ac:dyDescent="0.25">
      <c r="A310">
        <v>52</v>
      </c>
      <c r="B310" t="str">
        <f>VLOOKUP(A310,'model groups'!$A$3:$C$86,2,FALSE)</f>
        <v>coastal piscivores</v>
      </c>
      <c r="C310" t="s">
        <v>379</v>
      </c>
      <c r="D310" t="s">
        <v>955</v>
      </c>
      <c r="E310" t="s">
        <v>955</v>
      </c>
      <c r="G310" t="s">
        <v>241</v>
      </c>
      <c r="H310" t="s">
        <v>379</v>
      </c>
      <c r="I310" t="s">
        <v>559</v>
      </c>
      <c r="J310" t="s">
        <v>953</v>
      </c>
      <c r="AR310">
        <v>2</v>
      </c>
      <c r="AS310" t="s">
        <v>2227</v>
      </c>
    </row>
    <row r="311" spans="1:45" x14ac:dyDescent="0.25">
      <c r="A311">
        <v>53</v>
      </c>
      <c r="B311" t="str">
        <f>VLOOKUP(A311,'model groups'!$A$3:$C$86,2,FALSE)</f>
        <v>offshore demersal carnivores</v>
      </c>
      <c r="C311" t="s">
        <v>956</v>
      </c>
      <c r="D311" t="s">
        <v>957</v>
      </c>
      <c r="E311" t="s">
        <v>957</v>
      </c>
      <c r="G311" t="s">
        <v>195</v>
      </c>
      <c r="H311" t="s">
        <v>196</v>
      </c>
      <c r="I311" t="s">
        <v>958</v>
      </c>
      <c r="J311" t="s">
        <v>959</v>
      </c>
      <c r="K311" t="s">
        <v>960</v>
      </c>
      <c r="L311">
        <v>1.040032415</v>
      </c>
      <c r="N311">
        <v>26.285289379999998</v>
      </c>
      <c r="O311">
        <v>3.4</v>
      </c>
      <c r="P311">
        <v>14.83</v>
      </c>
      <c r="Q311">
        <v>3.59138</v>
      </c>
      <c r="R311" t="s">
        <v>70</v>
      </c>
      <c r="S311" t="s">
        <v>109</v>
      </c>
      <c r="T311" t="str">
        <f>IF(OR(AK311=1,AN311=1),"reef","no")</f>
        <v>no</v>
      </c>
      <c r="U311" s="1"/>
      <c r="V311" s="1"/>
      <c r="W311" s="1"/>
      <c r="X311" s="1"/>
      <c r="Y311" s="1"/>
      <c r="Z311" s="1"/>
      <c r="AA311" s="1"/>
      <c r="AB311" s="1"/>
      <c r="AC311">
        <v>0</v>
      </c>
      <c r="AD311">
        <v>0</v>
      </c>
      <c r="AE311">
        <v>0</v>
      </c>
      <c r="AF311">
        <v>0</v>
      </c>
      <c r="AG311">
        <v>0</v>
      </c>
      <c r="AH311">
        <v>0</v>
      </c>
      <c r="AI311">
        <v>0</v>
      </c>
      <c r="AJ311">
        <v>0</v>
      </c>
      <c r="AK311">
        <v>0</v>
      </c>
      <c r="AL311">
        <v>0</v>
      </c>
      <c r="AM311">
        <v>1</v>
      </c>
      <c r="AN311">
        <v>0</v>
      </c>
      <c r="AO311">
        <v>0</v>
      </c>
      <c r="AP311">
        <v>0</v>
      </c>
      <c r="AQ311">
        <v>0</v>
      </c>
      <c r="AR311">
        <v>18</v>
      </c>
      <c r="AS311" t="s">
        <v>2587</v>
      </c>
    </row>
    <row r="312" spans="1:45" x14ac:dyDescent="0.25">
      <c r="A312">
        <v>53</v>
      </c>
      <c r="B312" t="str">
        <f>VLOOKUP(A312,'model groups'!$A$3:$C$86,2,FALSE)</f>
        <v>offshore demersal carnivores</v>
      </c>
      <c r="C312" t="s">
        <v>961</v>
      </c>
      <c r="D312" t="s">
        <v>962</v>
      </c>
      <c r="E312" t="s">
        <v>962</v>
      </c>
      <c r="G312" t="s">
        <v>195</v>
      </c>
      <c r="H312" t="s">
        <v>963</v>
      </c>
      <c r="I312" t="s">
        <v>964</v>
      </c>
      <c r="J312" t="s">
        <v>965</v>
      </c>
      <c r="K312" t="s">
        <v>966</v>
      </c>
      <c r="L312">
        <v>0.79753164600000004</v>
      </c>
      <c r="N312">
        <v>39.688532180000003</v>
      </c>
      <c r="P312">
        <v>48.48</v>
      </c>
      <c r="Q312">
        <v>0.40723599999999999</v>
      </c>
      <c r="R312" t="s">
        <v>70</v>
      </c>
      <c r="S312" t="s">
        <v>77</v>
      </c>
      <c r="T312" t="str">
        <f>IF(OR(AK312=1,AN312=1),"reef","no")</f>
        <v>reef</v>
      </c>
      <c r="U312" s="1"/>
      <c r="V312" s="1"/>
      <c r="W312" s="1"/>
      <c r="X312" s="1"/>
      <c r="Y312" s="1"/>
      <c r="Z312" s="1"/>
      <c r="AA312" s="1"/>
      <c r="AB312" s="1"/>
      <c r="AC312">
        <v>0</v>
      </c>
      <c r="AD312">
        <v>1</v>
      </c>
      <c r="AE312">
        <v>0</v>
      </c>
      <c r="AF312">
        <v>0</v>
      </c>
      <c r="AG312">
        <v>0</v>
      </c>
      <c r="AH312">
        <v>0</v>
      </c>
      <c r="AI312">
        <v>0</v>
      </c>
      <c r="AJ312">
        <v>0</v>
      </c>
      <c r="AK312">
        <v>0</v>
      </c>
      <c r="AL312">
        <v>0</v>
      </c>
      <c r="AM312">
        <v>1</v>
      </c>
      <c r="AN312">
        <v>1</v>
      </c>
      <c r="AO312">
        <v>0</v>
      </c>
      <c r="AP312">
        <v>0</v>
      </c>
      <c r="AQ312">
        <v>0</v>
      </c>
      <c r="AR312">
        <v>18</v>
      </c>
      <c r="AS312" t="s">
        <v>2587</v>
      </c>
    </row>
    <row r="313" spans="1:45" x14ac:dyDescent="0.25">
      <c r="A313">
        <v>53</v>
      </c>
      <c r="B313" t="str">
        <f>VLOOKUP(A313,'model groups'!$A$3:$C$86,2,FALSE)</f>
        <v>offshore demersal carnivores</v>
      </c>
      <c r="C313" t="s">
        <v>967</v>
      </c>
      <c r="D313" t="s">
        <v>968</v>
      </c>
      <c r="E313" t="s">
        <v>968</v>
      </c>
      <c r="G313" t="s">
        <v>241</v>
      </c>
      <c r="H313" t="s">
        <v>963</v>
      </c>
      <c r="I313" t="s">
        <v>964</v>
      </c>
      <c r="J313" t="s">
        <v>965</v>
      </c>
      <c r="AR313">
        <v>18</v>
      </c>
      <c r="AS313" t="s">
        <v>2587</v>
      </c>
    </row>
    <row r="314" spans="1:45" x14ac:dyDescent="0.25">
      <c r="A314">
        <v>53</v>
      </c>
      <c r="B314" t="str">
        <f>VLOOKUP(A314,'model groups'!$A$3:$C$86,2,FALSE)</f>
        <v>offshore demersal carnivores</v>
      </c>
      <c r="C314" t="s">
        <v>969</v>
      </c>
      <c r="D314" t="s">
        <v>970</v>
      </c>
      <c r="E314" t="s">
        <v>970</v>
      </c>
      <c r="G314" t="s">
        <v>195</v>
      </c>
      <c r="H314" t="s">
        <v>963</v>
      </c>
      <c r="I314" t="s">
        <v>964</v>
      </c>
      <c r="J314" t="s">
        <v>971</v>
      </c>
      <c r="K314" t="s">
        <v>972</v>
      </c>
      <c r="L314">
        <v>0.946622721</v>
      </c>
      <c r="M314">
        <v>4.9590944114999997</v>
      </c>
      <c r="N314">
        <v>30.419065620000001</v>
      </c>
      <c r="O314">
        <v>4.3449999999999998</v>
      </c>
      <c r="P314">
        <v>36.82</v>
      </c>
      <c r="Q314">
        <v>0.40723599999999999</v>
      </c>
      <c r="R314" t="s">
        <v>70</v>
      </c>
      <c r="S314" t="s">
        <v>109</v>
      </c>
      <c r="T314" t="str">
        <f>IF(OR(AK314=1,AN314=1),"reef","no")</f>
        <v>no</v>
      </c>
      <c r="U314" s="1">
        <v>0.68899999585317007</v>
      </c>
      <c r="V314" s="1">
        <v>6.2999998159390017E-2</v>
      </c>
      <c r="W314" s="1">
        <v>0</v>
      </c>
      <c r="X314" s="1">
        <v>0</v>
      </c>
      <c r="Y314" s="1">
        <v>0</v>
      </c>
      <c r="Z314" s="1">
        <v>0</v>
      </c>
      <c r="AA314" s="1">
        <v>0.23200000586695996</v>
      </c>
      <c r="AB314" s="1">
        <v>1.6000000120480001E-2</v>
      </c>
      <c r="AC314">
        <v>1</v>
      </c>
      <c r="AD314">
        <v>0</v>
      </c>
      <c r="AE314">
        <v>0</v>
      </c>
      <c r="AF314">
        <v>0</v>
      </c>
      <c r="AG314">
        <v>1</v>
      </c>
      <c r="AH314">
        <v>0</v>
      </c>
      <c r="AI314">
        <v>0</v>
      </c>
      <c r="AJ314">
        <v>0</v>
      </c>
      <c r="AK314">
        <v>0</v>
      </c>
      <c r="AL314">
        <v>0</v>
      </c>
      <c r="AM314">
        <v>0</v>
      </c>
      <c r="AN314">
        <v>0</v>
      </c>
      <c r="AO314">
        <v>0</v>
      </c>
      <c r="AP314">
        <v>0</v>
      </c>
      <c r="AQ314">
        <v>0</v>
      </c>
      <c r="AR314">
        <v>18</v>
      </c>
      <c r="AS314" t="s">
        <v>2587</v>
      </c>
    </row>
    <row r="315" spans="1:45" x14ac:dyDescent="0.25">
      <c r="A315">
        <v>53</v>
      </c>
      <c r="B315" t="str">
        <f>VLOOKUP(A315,'model groups'!$A$3:$C$86,2,FALSE)</f>
        <v>offshore demersal carnivores</v>
      </c>
      <c r="C315" t="s">
        <v>973</v>
      </c>
      <c r="D315" t="s">
        <v>974</v>
      </c>
      <c r="E315" t="s">
        <v>974</v>
      </c>
      <c r="G315" t="s">
        <v>241</v>
      </c>
      <c r="H315" t="s">
        <v>963</v>
      </c>
      <c r="I315" t="s">
        <v>964</v>
      </c>
      <c r="J315" t="s">
        <v>971</v>
      </c>
      <c r="AR315">
        <v>18</v>
      </c>
      <c r="AS315" t="s">
        <v>2587</v>
      </c>
    </row>
    <row r="316" spans="1:45" x14ac:dyDescent="0.25">
      <c r="A316">
        <v>53</v>
      </c>
      <c r="B316" t="str">
        <f>VLOOKUP(A316,'model groups'!$A$3:$C$86,2,FALSE)</f>
        <v>offshore demersal carnivores</v>
      </c>
      <c r="C316" t="s">
        <v>975</v>
      </c>
      <c r="D316" t="s">
        <v>976</v>
      </c>
      <c r="E316" t="s">
        <v>976</v>
      </c>
      <c r="G316" t="s">
        <v>195</v>
      </c>
      <c r="H316" t="s">
        <v>470</v>
      </c>
      <c r="I316" t="s">
        <v>977</v>
      </c>
      <c r="J316" t="s">
        <v>978</v>
      </c>
      <c r="K316" t="s">
        <v>979</v>
      </c>
      <c r="L316">
        <v>1.040032415</v>
      </c>
      <c r="N316">
        <v>26.285289379999998</v>
      </c>
      <c r="O316">
        <v>3.72</v>
      </c>
      <c r="P316">
        <v>35.159999999999997</v>
      </c>
      <c r="Q316">
        <v>1.22421</v>
      </c>
      <c r="R316" t="s">
        <v>70</v>
      </c>
      <c r="S316" t="s">
        <v>109</v>
      </c>
      <c r="T316" t="str">
        <f>IF(OR(AK316=1,AN316=1),"reef","no")</f>
        <v>no</v>
      </c>
      <c r="U316" s="1">
        <v>0.28299999576769996</v>
      </c>
      <c r="V316" s="1">
        <v>0.71700000423230015</v>
      </c>
      <c r="W316" s="1">
        <v>0</v>
      </c>
      <c r="X316" s="1">
        <v>0</v>
      </c>
      <c r="Y316" s="1">
        <v>0</v>
      </c>
      <c r="Z316" s="1">
        <v>0</v>
      </c>
      <c r="AA316" s="1">
        <v>0</v>
      </c>
      <c r="AB316" s="1">
        <v>0</v>
      </c>
      <c r="AC316">
        <v>0</v>
      </c>
      <c r="AD316">
        <v>0</v>
      </c>
      <c r="AE316">
        <v>0</v>
      </c>
      <c r="AF316">
        <v>0</v>
      </c>
      <c r="AG316">
        <v>1</v>
      </c>
      <c r="AH316">
        <v>0</v>
      </c>
      <c r="AI316">
        <v>0</v>
      </c>
      <c r="AJ316">
        <v>0</v>
      </c>
      <c r="AK316">
        <v>0</v>
      </c>
      <c r="AL316">
        <v>0</v>
      </c>
      <c r="AM316">
        <v>1</v>
      </c>
      <c r="AN316">
        <v>0</v>
      </c>
      <c r="AO316">
        <v>0</v>
      </c>
      <c r="AP316">
        <v>0</v>
      </c>
      <c r="AQ316">
        <v>0</v>
      </c>
      <c r="AR316">
        <v>18</v>
      </c>
      <c r="AS316" t="s">
        <v>2587</v>
      </c>
    </row>
    <row r="317" spans="1:45" x14ac:dyDescent="0.25">
      <c r="A317">
        <v>53</v>
      </c>
      <c r="B317" t="str">
        <f>VLOOKUP(A317,'model groups'!$A$3:$C$86,2,FALSE)</f>
        <v>offshore demersal carnivores</v>
      </c>
      <c r="D317" t="s">
        <v>980</v>
      </c>
      <c r="E317" t="s">
        <v>981</v>
      </c>
      <c r="G317" t="s">
        <v>195</v>
      </c>
      <c r="H317" t="s">
        <v>982</v>
      </c>
      <c r="I317" t="s">
        <v>983</v>
      </c>
      <c r="J317" t="s">
        <v>984</v>
      </c>
      <c r="T317" t="str">
        <f>IF(OR(AK317=1,AN317=1),"reef","no")</f>
        <v>reef</v>
      </c>
      <c r="U317" s="1"/>
      <c r="V317" s="1"/>
      <c r="W317" s="1"/>
      <c r="X317" s="1"/>
      <c r="Y317" s="1"/>
      <c r="Z317" s="1"/>
      <c r="AA317" s="1"/>
      <c r="AB317" s="1"/>
      <c r="AG317">
        <v>0</v>
      </c>
      <c r="AH317">
        <v>0</v>
      </c>
      <c r="AI317">
        <v>0</v>
      </c>
      <c r="AJ317">
        <v>0</v>
      </c>
      <c r="AK317">
        <v>1</v>
      </c>
      <c r="AL317">
        <v>0</v>
      </c>
      <c r="AM317">
        <v>0</v>
      </c>
      <c r="AN317">
        <v>0</v>
      </c>
      <c r="AO317">
        <v>0</v>
      </c>
      <c r="AP317">
        <v>0</v>
      </c>
      <c r="AQ317">
        <v>0</v>
      </c>
      <c r="AR317">
        <v>18</v>
      </c>
      <c r="AS317" t="s">
        <v>2587</v>
      </c>
    </row>
    <row r="318" spans="1:45" x14ac:dyDescent="0.25">
      <c r="A318">
        <v>53</v>
      </c>
      <c r="B318" t="str">
        <f>VLOOKUP(A318,'model groups'!$A$3:$C$86,2,FALSE)</f>
        <v>offshore demersal carnivores</v>
      </c>
      <c r="C318" t="s">
        <v>985</v>
      </c>
      <c r="D318" t="s">
        <v>986</v>
      </c>
      <c r="E318" t="s">
        <v>986</v>
      </c>
      <c r="G318" t="s">
        <v>241</v>
      </c>
      <c r="H318" t="s">
        <v>982</v>
      </c>
      <c r="I318" t="s">
        <v>983</v>
      </c>
      <c r="J318" t="s">
        <v>987</v>
      </c>
      <c r="AR318">
        <v>18</v>
      </c>
      <c r="AS318" t="s">
        <v>2587</v>
      </c>
    </row>
    <row r="319" spans="1:45" x14ac:dyDescent="0.25">
      <c r="A319">
        <v>53</v>
      </c>
      <c r="B319" t="str">
        <f>VLOOKUP(A319,'model groups'!$A$3:$C$86,2,FALSE)</f>
        <v>offshore demersal carnivores</v>
      </c>
      <c r="C319" t="s">
        <v>988</v>
      </c>
      <c r="D319" t="s">
        <v>989</v>
      </c>
      <c r="E319" t="s">
        <v>989</v>
      </c>
      <c r="G319" t="s">
        <v>241</v>
      </c>
      <c r="H319" t="s">
        <v>982</v>
      </c>
      <c r="I319" t="s">
        <v>983</v>
      </c>
      <c r="J319" t="s">
        <v>990</v>
      </c>
      <c r="AR319">
        <v>18</v>
      </c>
      <c r="AS319" t="s">
        <v>2587</v>
      </c>
    </row>
    <row r="320" spans="1:45" x14ac:dyDescent="0.25">
      <c r="A320">
        <v>53</v>
      </c>
      <c r="B320" t="str">
        <f>VLOOKUP(A320,'model groups'!$A$3:$C$86,2,FALSE)</f>
        <v>offshore demersal carnivores</v>
      </c>
      <c r="C320" t="s">
        <v>991</v>
      </c>
      <c r="D320" t="s">
        <v>992</v>
      </c>
      <c r="E320" t="s">
        <v>993</v>
      </c>
      <c r="G320" t="s">
        <v>195</v>
      </c>
      <c r="H320" t="s">
        <v>994</v>
      </c>
      <c r="I320" t="s">
        <v>995</v>
      </c>
      <c r="J320" t="s">
        <v>996</v>
      </c>
      <c r="K320" t="s">
        <v>997</v>
      </c>
      <c r="L320">
        <v>0.58207464200000003</v>
      </c>
      <c r="M320">
        <v>4.4716494000000004</v>
      </c>
      <c r="N320">
        <v>68.330277890000005</v>
      </c>
      <c r="O320">
        <v>3.89</v>
      </c>
      <c r="P320">
        <v>55.5</v>
      </c>
      <c r="Q320">
        <v>0.86119100000000004</v>
      </c>
      <c r="R320" t="s">
        <v>70</v>
      </c>
      <c r="S320" t="s">
        <v>109</v>
      </c>
      <c r="T320" t="str">
        <f>IF(OR(AK320=1,AN320=1),"reef","no")</f>
        <v>no</v>
      </c>
      <c r="U320" s="1">
        <v>0.20483333210188667</v>
      </c>
      <c r="V320" s="1">
        <v>0.60066666754605336</v>
      </c>
      <c r="W320" s="1">
        <v>3.8833332746606671E-2</v>
      </c>
      <c r="X320" s="1">
        <v>0</v>
      </c>
      <c r="Y320" s="1">
        <v>1.9166666614033337E-2</v>
      </c>
      <c r="Z320" s="1">
        <v>0</v>
      </c>
      <c r="AA320" s="1">
        <v>0.13650000099141998</v>
      </c>
      <c r="AB320" s="1">
        <v>0</v>
      </c>
      <c r="AC320">
        <v>1</v>
      </c>
      <c r="AD320">
        <v>0</v>
      </c>
      <c r="AE320">
        <v>0</v>
      </c>
      <c r="AF320">
        <v>0</v>
      </c>
      <c r="AG320">
        <v>0</v>
      </c>
      <c r="AH320">
        <v>0</v>
      </c>
      <c r="AI320">
        <v>0</v>
      </c>
      <c r="AJ320">
        <v>1</v>
      </c>
      <c r="AK320">
        <v>0</v>
      </c>
      <c r="AL320">
        <v>0</v>
      </c>
      <c r="AM320">
        <v>0</v>
      </c>
      <c r="AN320">
        <v>0</v>
      </c>
      <c r="AO320">
        <v>0</v>
      </c>
      <c r="AP320">
        <v>0</v>
      </c>
      <c r="AQ320">
        <v>0</v>
      </c>
      <c r="AR320">
        <v>18</v>
      </c>
      <c r="AS320" t="s">
        <v>2587</v>
      </c>
    </row>
    <row r="321" spans="1:45" x14ac:dyDescent="0.25">
      <c r="A321">
        <v>53</v>
      </c>
      <c r="B321" t="str">
        <f>VLOOKUP(A321,'model groups'!$A$3:$C$86,2,FALSE)</f>
        <v>offshore demersal carnivores</v>
      </c>
      <c r="C321" t="s">
        <v>998</v>
      </c>
      <c r="D321" t="s">
        <v>999</v>
      </c>
      <c r="E321" t="s">
        <v>1000</v>
      </c>
      <c r="G321" t="s">
        <v>195</v>
      </c>
      <c r="H321" t="s">
        <v>994</v>
      </c>
      <c r="I321" t="s">
        <v>995</v>
      </c>
      <c r="J321" t="s">
        <v>996</v>
      </c>
      <c r="K321" t="s">
        <v>1001</v>
      </c>
      <c r="L321">
        <v>0.84022107700000004</v>
      </c>
      <c r="M321">
        <v>6.1872148350000007</v>
      </c>
      <c r="N321">
        <v>36.603057360000001</v>
      </c>
      <c r="O321">
        <v>3.69</v>
      </c>
      <c r="P321">
        <v>34.24</v>
      </c>
      <c r="Q321">
        <v>0.59073399999999998</v>
      </c>
      <c r="R321" t="s">
        <v>70</v>
      </c>
      <c r="S321" t="s">
        <v>109</v>
      </c>
      <c r="T321" t="str">
        <f>IF(OR(AK321=1,AN321=1),"reef","no")</f>
        <v>no</v>
      </c>
      <c r="U321" s="1">
        <v>0.20483333210188667</v>
      </c>
      <c r="V321" s="1">
        <v>0.60066666754605336</v>
      </c>
      <c r="W321" s="1">
        <v>3.8833332746606671E-2</v>
      </c>
      <c r="X321" s="1">
        <v>0</v>
      </c>
      <c r="Y321" s="1">
        <v>1.9166666614033337E-2</v>
      </c>
      <c r="Z321" s="1">
        <v>0</v>
      </c>
      <c r="AA321" s="1">
        <v>0.13650000099141998</v>
      </c>
      <c r="AB321" s="1">
        <v>0</v>
      </c>
      <c r="AC321">
        <v>0</v>
      </c>
      <c r="AD321">
        <v>0</v>
      </c>
      <c r="AE321">
        <v>0</v>
      </c>
      <c r="AF321">
        <v>0</v>
      </c>
      <c r="AG321">
        <v>0</v>
      </c>
      <c r="AH321">
        <v>0</v>
      </c>
      <c r="AI321">
        <v>0</v>
      </c>
      <c r="AJ321">
        <v>1</v>
      </c>
      <c r="AK321">
        <v>0</v>
      </c>
      <c r="AL321">
        <v>0</v>
      </c>
      <c r="AM321">
        <v>0</v>
      </c>
      <c r="AN321">
        <v>0</v>
      </c>
      <c r="AO321">
        <v>0</v>
      </c>
      <c r="AP321">
        <v>0</v>
      </c>
      <c r="AQ321">
        <v>0</v>
      </c>
      <c r="AR321">
        <v>18</v>
      </c>
      <c r="AS321" t="s">
        <v>2587</v>
      </c>
    </row>
    <row r="322" spans="1:45" x14ac:dyDescent="0.25">
      <c r="A322">
        <v>53</v>
      </c>
      <c r="B322" t="str">
        <f>VLOOKUP(A322,'model groups'!$A$3:$C$86,2,FALSE)</f>
        <v>offshore demersal carnivores</v>
      </c>
      <c r="C322" t="s">
        <v>998</v>
      </c>
      <c r="D322" t="s">
        <v>999</v>
      </c>
      <c r="E322" t="s">
        <v>999</v>
      </c>
      <c r="G322" t="s">
        <v>195</v>
      </c>
      <c r="H322" t="s">
        <v>994</v>
      </c>
      <c r="I322" t="s">
        <v>995</v>
      </c>
      <c r="J322" t="s">
        <v>996</v>
      </c>
      <c r="K322" t="s">
        <v>1001</v>
      </c>
      <c r="L322">
        <v>0.84022107700000004</v>
      </c>
      <c r="M322">
        <v>6.1872148350000007</v>
      </c>
      <c r="N322">
        <v>36.603057360000001</v>
      </c>
      <c r="O322">
        <v>3.69</v>
      </c>
      <c r="P322">
        <v>34.24</v>
      </c>
      <c r="Q322">
        <v>0.59073399999999998</v>
      </c>
      <c r="R322" t="s">
        <v>70</v>
      </c>
      <c r="S322" t="s">
        <v>109</v>
      </c>
      <c r="T322" t="str">
        <f>IF(OR(AK322=1,AN322=1),"reef","no")</f>
        <v>no</v>
      </c>
      <c r="U322" s="1">
        <v>0.20483333210188667</v>
      </c>
      <c r="V322" s="1">
        <v>0.60066666754605336</v>
      </c>
      <c r="W322" s="1">
        <v>3.8833332746606671E-2</v>
      </c>
      <c r="X322" s="1">
        <v>0</v>
      </c>
      <c r="Y322" s="1">
        <v>1.9166666614033337E-2</v>
      </c>
      <c r="Z322" s="1">
        <v>0</v>
      </c>
      <c r="AA322" s="1">
        <v>0.13650000099141998</v>
      </c>
      <c r="AB322" s="1">
        <v>0</v>
      </c>
      <c r="AC322">
        <v>0</v>
      </c>
      <c r="AD322">
        <v>0</v>
      </c>
      <c r="AE322">
        <v>0</v>
      </c>
      <c r="AF322">
        <v>0</v>
      </c>
      <c r="AG322">
        <v>0</v>
      </c>
      <c r="AH322">
        <v>0</v>
      </c>
      <c r="AI322">
        <v>0</v>
      </c>
      <c r="AJ322">
        <v>0</v>
      </c>
      <c r="AK322">
        <v>0</v>
      </c>
      <c r="AL322">
        <v>0</v>
      </c>
      <c r="AM322">
        <v>1</v>
      </c>
      <c r="AN322">
        <v>0</v>
      </c>
      <c r="AO322">
        <v>0</v>
      </c>
      <c r="AP322">
        <v>0</v>
      </c>
      <c r="AQ322">
        <v>0</v>
      </c>
      <c r="AR322">
        <v>18</v>
      </c>
      <c r="AS322" t="s">
        <v>2587</v>
      </c>
    </row>
    <row r="323" spans="1:45" x14ac:dyDescent="0.25">
      <c r="A323">
        <v>53</v>
      </c>
      <c r="B323" t="str">
        <f>VLOOKUP(A323,'model groups'!$A$3:$C$86,2,FALSE)</f>
        <v>offshore demersal carnivores</v>
      </c>
      <c r="C323" t="s">
        <v>662</v>
      </c>
      <c r="D323" t="s">
        <v>1002</v>
      </c>
      <c r="E323" t="s">
        <v>1002</v>
      </c>
      <c r="G323" t="s">
        <v>195</v>
      </c>
      <c r="H323" t="s">
        <v>643</v>
      </c>
      <c r="I323" t="s">
        <v>437</v>
      </c>
      <c r="J323" t="s">
        <v>664</v>
      </c>
      <c r="K323" t="s">
        <v>665</v>
      </c>
      <c r="L323">
        <v>0.80830035</v>
      </c>
      <c r="M323">
        <v>7.3079945780000006</v>
      </c>
      <c r="N323">
        <v>39.688532180000003</v>
      </c>
      <c r="O323">
        <v>3.4449999999999998</v>
      </c>
      <c r="P323">
        <v>36.270000000000003</v>
      </c>
      <c r="Q323">
        <v>1.3704799999999999</v>
      </c>
      <c r="R323" t="s">
        <v>70</v>
      </c>
      <c r="S323" t="s">
        <v>77</v>
      </c>
      <c r="T323" t="str">
        <f>IF(OR(AK323=1,AN323=1),"reef","no")</f>
        <v>no</v>
      </c>
      <c r="U323" s="1">
        <v>7.5000000261749994E-3</v>
      </c>
      <c r="V323" s="1">
        <v>0.102500000457725</v>
      </c>
      <c r="W323" s="1">
        <v>3.1500001059935001E-2</v>
      </c>
      <c r="X323" s="1">
        <v>0</v>
      </c>
      <c r="Y323" s="1">
        <v>0</v>
      </c>
      <c r="Z323" s="1">
        <v>0</v>
      </c>
      <c r="AA323" s="1">
        <v>0.84199999863857988</v>
      </c>
      <c r="AB323" s="1">
        <v>1.6499999817584998E-2</v>
      </c>
      <c r="AC323">
        <v>1</v>
      </c>
      <c r="AD323">
        <v>0</v>
      </c>
      <c r="AE323">
        <v>1</v>
      </c>
      <c r="AF323">
        <v>1</v>
      </c>
      <c r="AG323">
        <v>1</v>
      </c>
      <c r="AH323">
        <v>0</v>
      </c>
      <c r="AI323">
        <v>0</v>
      </c>
      <c r="AJ323">
        <v>0</v>
      </c>
      <c r="AK323">
        <v>0</v>
      </c>
      <c r="AL323">
        <v>0</v>
      </c>
      <c r="AM323">
        <v>0</v>
      </c>
      <c r="AN323">
        <v>0</v>
      </c>
      <c r="AO323">
        <v>0</v>
      </c>
      <c r="AP323">
        <v>0</v>
      </c>
      <c r="AQ323">
        <v>0</v>
      </c>
      <c r="AR323">
        <v>18</v>
      </c>
      <c r="AS323" t="s">
        <v>2587</v>
      </c>
    </row>
    <row r="324" spans="1:45" x14ac:dyDescent="0.25">
      <c r="A324">
        <v>53</v>
      </c>
      <c r="B324" t="str">
        <f>VLOOKUP(A324,'model groups'!$A$3:$C$86,2,FALSE)</f>
        <v>offshore demersal carnivores</v>
      </c>
      <c r="C324" t="s">
        <v>1003</v>
      </c>
      <c r="D324" t="s">
        <v>1004</v>
      </c>
      <c r="E324" t="s">
        <v>1004</v>
      </c>
      <c r="G324" t="s">
        <v>241</v>
      </c>
      <c r="H324" t="s">
        <v>982</v>
      </c>
      <c r="I324" t="s">
        <v>1005</v>
      </c>
      <c r="J324" t="s">
        <v>1006</v>
      </c>
      <c r="AR324">
        <v>18</v>
      </c>
      <c r="AS324" t="s">
        <v>2587</v>
      </c>
    </row>
    <row r="325" spans="1:45" x14ac:dyDescent="0.25">
      <c r="A325">
        <v>53</v>
      </c>
      <c r="B325" t="str">
        <f>VLOOKUP(A325,'model groups'!$A$3:$C$86,2,FALSE)</f>
        <v>offshore demersal carnivores</v>
      </c>
      <c r="C325" t="s">
        <v>1007</v>
      </c>
      <c r="D325" t="s">
        <v>1008</v>
      </c>
      <c r="E325" t="s">
        <v>1008</v>
      </c>
      <c r="G325" t="s">
        <v>195</v>
      </c>
      <c r="H325" t="s">
        <v>982</v>
      </c>
      <c r="I325" t="s">
        <v>1005</v>
      </c>
      <c r="J325" t="s">
        <v>1009</v>
      </c>
      <c r="K325" t="s">
        <v>1010</v>
      </c>
      <c r="L325">
        <v>0.45843459600000003</v>
      </c>
      <c r="N325">
        <v>93.733025249999997</v>
      </c>
      <c r="O325">
        <v>4.1266666670000003</v>
      </c>
      <c r="P325">
        <v>57</v>
      </c>
      <c r="R325" t="s">
        <v>70</v>
      </c>
      <c r="S325" t="s">
        <v>109</v>
      </c>
      <c r="T325" t="str">
        <f>IF(OR(AK325=1,AN325=1),"reef","no")</f>
        <v>no</v>
      </c>
      <c r="U325" s="1">
        <v>0.8125</v>
      </c>
      <c r="V325" s="1">
        <v>0.125</v>
      </c>
      <c r="W325" s="1">
        <v>0</v>
      </c>
      <c r="X325" s="1">
        <v>0</v>
      </c>
      <c r="Y325" s="1">
        <v>0</v>
      </c>
      <c r="Z325" s="1">
        <v>0</v>
      </c>
      <c r="AA325" s="1">
        <v>6.25E-2</v>
      </c>
      <c r="AB325" s="1">
        <v>0</v>
      </c>
      <c r="AC325">
        <v>1</v>
      </c>
      <c r="AD325">
        <v>1</v>
      </c>
      <c r="AE325">
        <v>1</v>
      </c>
      <c r="AF325">
        <v>1</v>
      </c>
      <c r="AG325">
        <v>0</v>
      </c>
      <c r="AH325">
        <v>0</v>
      </c>
      <c r="AI325">
        <v>0</v>
      </c>
      <c r="AJ325">
        <v>1</v>
      </c>
      <c r="AK325">
        <v>0</v>
      </c>
      <c r="AL325">
        <v>0</v>
      </c>
      <c r="AM325">
        <v>0</v>
      </c>
      <c r="AN325">
        <v>0</v>
      </c>
      <c r="AO325">
        <v>0</v>
      </c>
      <c r="AP325">
        <v>0</v>
      </c>
      <c r="AQ325">
        <v>0</v>
      </c>
      <c r="AR325">
        <v>18</v>
      </c>
      <c r="AS325" t="s">
        <v>2587</v>
      </c>
    </row>
    <row r="326" spans="1:45" x14ac:dyDescent="0.25">
      <c r="A326">
        <v>53</v>
      </c>
      <c r="B326" t="str">
        <f>VLOOKUP(A326,'model groups'!$A$3:$C$86,2,FALSE)</f>
        <v>offshore demersal carnivores</v>
      </c>
      <c r="C326" t="s">
        <v>1011</v>
      </c>
      <c r="D326" t="s">
        <v>1012</v>
      </c>
      <c r="E326" t="s">
        <v>1012</v>
      </c>
      <c r="G326" t="s">
        <v>195</v>
      </c>
      <c r="H326" t="s">
        <v>982</v>
      </c>
      <c r="I326" t="s">
        <v>1005</v>
      </c>
      <c r="J326" t="s">
        <v>1009</v>
      </c>
      <c r="K326" t="s">
        <v>1013</v>
      </c>
      <c r="L326">
        <v>0.27825154499999999</v>
      </c>
      <c r="N326">
        <v>203.44340629999999</v>
      </c>
      <c r="O326">
        <v>4.4400000000000004</v>
      </c>
      <c r="P326">
        <v>83.91</v>
      </c>
      <c r="R326" t="s">
        <v>70</v>
      </c>
      <c r="S326" t="s">
        <v>77</v>
      </c>
      <c r="T326" t="str">
        <f>IF(OR(AK326=1,AN326=1),"reef","no")</f>
        <v>reef</v>
      </c>
      <c r="U326" s="1">
        <v>1</v>
      </c>
      <c r="V326" s="1">
        <v>0</v>
      </c>
      <c r="W326" s="1">
        <v>0</v>
      </c>
      <c r="X326" s="1">
        <v>0</v>
      </c>
      <c r="Y326" s="1">
        <v>0</v>
      </c>
      <c r="Z326" s="1">
        <v>0</v>
      </c>
      <c r="AA326" s="1">
        <v>0</v>
      </c>
      <c r="AB326" s="1">
        <v>0</v>
      </c>
      <c r="AC326">
        <v>0</v>
      </c>
      <c r="AD326">
        <v>1</v>
      </c>
      <c r="AE326">
        <v>1</v>
      </c>
      <c r="AF326">
        <v>1</v>
      </c>
      <c r="AG326">
        <v>0</v>
      </c>
      <c r="AH326">
        <v>0</v>
      </c>
      <c r="AI326">
        <v>0</v>
      </c>
      <c r="AJ326">
        <v>0</v>
      </c>
      <c r="AK326">
        <v>0</v>
      </c>
      <c r="AL326">
        <v>0</v>
      </c>
      <c r="AM326">
        <v>0</v>
      </c>
      <c r="AN326">
        <v>1</v>
      </c>
      <c r="AO326">
        <v>0</v>
      </c>
      <c r="AP326">
        <v>0</v>
      </c>
      <c r="AQ326">
        <v>0</v>
      </c>
      <c r="AR326">
        <v>18</v>
      </c>
      <c r="AS326" t="s">
        <v>2587</v>
      </c>
    </row>
    <row r="327" spans="1:45" x14ac:dyDescent="0.25">
      <c r="A327">
        <v>53</v>
      </c>
      <c r="B327" t="str">
        <f>VLOOKUP(A327,'model groups'!$A$3:$C$86,2,FALSE)</f>
        <v>offshore demersal carnivores</v>
      </c>
      <c r="C327" t="s">
        <v>1014</v>
      </c>
      <c r="D327" t="s">
        <v>1015</v>
      </c>
      <c r="E327" t="s">
        <v>1015</v>
      </c>
      <c r="G327" t="s">
        <v>195</v>
      </c>
      <c r="H327" t="s">
        <v>982</v>
      </c>
      <c r="I327" t="s">
        <v>1005</v>
      </c>
      <c r="J327" t="s">
        <v>1009</v>
      </c>
      <c r="K327" t="s">
        <v>1016</v>
      </c>
      <c r="L327">
        <v>0.59699651600000003</v>
      </c>
      <c r="N327">
        <v>62.212642070000001</v>
      </c>
      <c r="O327">
        <v>4.1266666670000003</v>
      </c>
      <c r="P327">
        <v>48.54</v>
      </c>
      <c r="R327" t="s">
        <v>70</v>
      </c>
      <c r="S327" t="s">
        <v>109</v>
      </c>
      <c r="T327" t="str">
        <f>IF(OR(AK327=1,AN327=1),"reef","no")</f>
        <v>reef</v>
      </c>
      <c r="U327" s="1">
        <v>0.8125</v>
      </c>
      <c r="V327" s="1">
        <v>0.125</v>
      </c>
      <c r="W327" s="1">
        <v>0</v>
      </c>
      <c r="X327" s="1">
        <v>0</v>
      </c>
      <c r="Y327" s="1">
        <v>0</v>
      </c>
      <c r="Z327" s="1">
        <v>0</v>
      </c>
      <c r="AA327" s="1">
        <v>6.25E-2</v>
      </c>
      <c r="AB327" s="1">
        <v>0</v>
      </c>
      <c r="AC327">
        <v>1</v>
      </c>
      <c r="AD327">
        <v>1</v>
      </c>
      <c r="AE327">
        <v>1</v>
      </c>
      <c r="AF327">
        <v>1</v>
      </c>
      <c r="AG327">
        <v>1</v>
      </c>
      <c r="AH327">
        <v>0</v>
      </c>
      <c r="AI327">
        <v>0</v>
      </c>
      <c r="AJ327">
        <v>0</v>
      </c>
      <c r="AK327">
        <v>1</v>
      </c>
      <c r="AL327">
        <v>0</v>
      </c>
      <c r="AM327">
        <v>0</v>
      </c>
      <c r="AN327">
        <v>0</v>
      </c>
      <c r="AO327">
        <v>0</v>
      </c>
      <c r="AP327">
        <v>0</v>
      </c>
      <c r="AQ327">
        <v>0</v>
      </c>
      <c r="AR327">
        <v>18</v>
      </c>
      <c r="AS327" t="s">
        <v>2587</v>
      </c>
    </row>
    <row r="328" spans="1:45" x14ac:dyDescent="0.25">
      <c r="A328">
        <v>53</v>
      </c>
      <c r="B328" t="str">
        <f>VLOOKUP(A328,'model groups'!$A$3:$C$86,2,FALSE)</f>
        <v>offshore demersal carnivores</v>
      </c>
      <c r="C328" t="s">
        <v>1017</v>
      </c>
      <c r="D328" t="s">
        <v>1018</v>
      </c>
      <c r="E328" t="s">
        <v>1018</v>
      </c>
      <c r="G328" t="s">
        <v>241</v>
      </c>
      <c r="H328" t="s">
        <v>982</v>
      </c>
      <c r="I328" t="s">
        <v>1005</v>
      </c>
      <c r="J328" t="s">
        <v>1009</v>
      </c>
      <c r="AR328">
        <v>18</v>
      </c>
      <c r="AS328" t="s">
        <v>2587</v>
      </c>
    </row>
    <row r="329" spans="1:45" x14ac:dyDescent="0.25">
      <c r="A329">
        <v>53</v>
      </c>
      <c r="B329" t="str">
        <f>VLOOKUP(A329,'model groups'!$A$3:$C$86,2,FALSE)</f>
        <v>offshore demersal carnivores</v>
      </c>
      <c r="C329" t="s">
        <v>1019</v>
      </c>
      <c r="D329" t="s">
        <v>1020</v>
      </c>
      <c r="E329" t="s">
        <v>1020</v>
      </c>
      <c r="G329" t="s">
        <v>195</v>
      </c>
      <c r="H329" t="s">
        <v>982</v>
      </c>
      <c r="I329" t="s">
        <v>1005</v>
      </c>
      <c r="J329" t="s">
        <v>1021</v>
      </c>
      <c r="K329" t="s">
        <v>1022</v>
      </c>
      <c r="L329">
        <v>0.59699651600000003</v>
      </c>
      <c r="N329">
        <v>62.212642070000001</v>
      </c>
      <c r="P329">
        <v>48.54</v>
      </c>
      <c r="R329" t="s">
        <v>70</v>
      </c>
      <c r="S329" t="s">
        <v>109</v>
      </c>
      <c r="T329" t="str">
        <f>IF(OR(AK329=1,AN329=1),"reef","no")</f>
        <v>reef</v>
      </c>
      <c r="U329" s="1"/>
      <c r="V329" s="1"/>
      <c r="W329" s="1"/>
      <c r="X329" s="1"/>
      <c r="Y329" s="1"/>
      <c r="Z329" s="1"/>
      <c r="AA329" s="1"/>
      <c r="AB329" s="1"/>
      <c r="AG329">
        <v>0</v>
      </c>
      <c r="AH329">
        <v>0</v>
      </c>
      <c r="AI329">
        <v>0</v>
      </c>
      <c r="AJ329">
        <v>0</v>
      </c>
      <c r="AK329">
        <v>0</v>
      </c>
      <c r="AL329">
        <v>0</v>
      </c>
      <c r="AM329">
        <v>0</v>
      </c>
      <c r="AN329">
        <v>1</v>
      </c>
      <c r="AO329">
        <v>0</v>
      </c>
      <c r="AP329">
        <v>0</v>
      </c>
      <c r="AQ329">
        <v>0</v>
      </c>
      <c r="AR329">
        <v>18</v>
      </c>
      <c r="AS329" t="s">
        <v>2587</v>
      </c>
    </row>
    <row r="330" spans="1:45" x14ac:dyDescent="0.25">
      <c r="A330">
        <v>53</v>
      </c>
      <c r="B330" t="str">
        <f>VLOOKUP(A330,'model groups'!$A$3:$C$86,2,FALSE)</f>
        <v>offshore demersal carnivores</v>
      </c>
      <c r="D330" t="s">
        <v>1023</v>
      </c>
      <c r="E330" t="s">
        <v>1023</v>
      </c>
      <c r="G330" t="s">
        <v>195</v>
      </c>
      <c r="H330" t="s">
        <v>982</v>
      </c>
      <c r="I330" t="s">
        <v>1005</v>
      </c>
      <c r="T330" t="str">
        <f>IF(OR(AK330=1,AN330=1),"reef","no")</f>
        <v>reef</v>
      </c>
      <c r="U330" s="1"/>
      <c r="V330" s="1"/>
      <c r="W330" s="1"/>
      <c r="X330" s="1"/>
      <c r="Y330" s="1"/>
      <c r="Z330" s="1"/>
      <c r="AA330" s="1"/>
      <c r="AB330" s="1"/>
      <c r="AG330">
        <v>0</v>
      </c>
      <c r="AH330">
        <v>0</v>
      </c>
      <c r="AI330">
        <v>0</v>
      </c>
      <c r="AJ330">
        <v>0</v>
      </c>
      <c r="AK330">
        <v>0</v>
      </c>
      <c r="AL330">
        <v>0</v>
      </c>
      <c r="AM330">
        <v>0</v>
      </c>
      <c r="AN330">
        <v>1</v>
      </c>
      <c r="AO330">
        <v>0</v>
      </c>
      <c r="AP330">
        <v>0</v>
      </c>
      <c r="AQ330">
        <v>1</v>
      </c>
      <c r="AR330">
        <v>18</v>
      </c>
      <c r="AS330" t="s">
        <v>2587</v>
      </c>
    </row>
    <row r="331" spans="1:45" x14ac:dyDescent="0.25">
      <c r="A331">
        <v>53</v>
      </c>
      <c r="B331" t="str">
        <f>VLOOKUP(A331,'model groups'!$A$3:$C$86,2,FALSE)</f>
        <v>offshore demersal carnivores</v>
      </c>
      <c r="D331" t="s">
        <v>1024</v>
      </c>
      <c r="E331" t="s">
        <v>1024</v>
      </c>
      <c r="G331" t="s">
        <v>379</v>
      </c>
      <c r="H331" t="s">
        <v>379</v>
      </c>
      <c r="I331" t="s">
        <v>379</v>
      </c>
      <c r="J331" t="s">
        <v>379</v>
      </c>
      <c r="K331" t="s">
        <v>379</v>
      </c>
      <c r="AR331">
        <v>18</v>
      </c>
      <c r="AS331" t="s">
        <v>2587</v>
      </c>
    </row>
    <row r="332" spans="1:45" x14ac:dyDescent="0.25">
      <c r="A332">
        <v>53</v>
      </c>
      <c r="B332" t="str">
        <f>VLOOKUP(A332,'model groups'!$A$3:$C$86,2,FALSE)</f>
        <v>offshore demersal carnivores</v>
      </c>
      <c r="C332" t="s">
        <v>1025</v>
      </c>
      <c r="D332" t="s">
        <v>1026</v>
      </c>
      <c r="E332" t="s">
        <v>1026</v>
      </c>
      <c r="G332" t="s">
        <v>241</v>
      </c>
      <c r="H332" t="s">
        <v>1027</v>
      </c>
      <c r="I332" t="s">
        <v>1028</v>
      </c>
      <c r="J332" t="s">
        <v>1029</v>
      </c>
      <c r="AR332">
        <v>18</v>
      </c>
      <c r="AS332" t="s">
        <v>2587</v>
      </c>
    </row>
    <row r="333" spans="1:45" x14ac:dyDescent="0.25">
      <c r="A333">
        <v>53</v>
      </c>
      <c r="B333" t="str">
        <f>VLOOKUP(A333,'model groups'!$A$3:$C$86,2,FALSE)</f>
        <v>offshore demersal carnivores</v>
      </c>
      <c r="C333" t="s">
        <v>1030</v>
      </c>
      <c r="D333" t="s">
        <v>1031</v>
      </c>
      <c r="E333" t="s">
        <v>1031</v>
      </c>
      <c r="G333" t="s">
        <v>195</v>
      </c>
      <c r="H333" t="s">
        <v>1027</v>
      </c>
      <c r="I333" t="s">
        <v>1028</v>
      </c>
      <c r="J333" t="s">
        <v>1032</v>
      </c>
      <c r="K333" t="s">
        <v>1033</v>
      </c>
      <c r="L333">
        <v>1.859357836</v>
      </c>
      <c r="N333">
        <v>10.668417420000001</v>
      </c>
      <c r="P333">
        <v>28.8</v>
      </c>
      <c r="R333" t="s">
        <v>70</v>
      </c>
      <c r="S333" t="s">
        <v>77</v>
      </c>
      <c r="T333" t="str">
        <f>IF(OR(AK333=1,AN333=1),"reef","no")</f>
        <v>no</v>
      </c>
      <c r="U333" s="1"/>
      <c r="V333" s="1"/>
      <c r="W333" s="1"/>
      <c r="X333" s="1"/>
      <c r="Y333" s="1"/>
      <c r="Z333" s="1"/>
      <c r="AA333" s="1"/>
      <c r="AB333" s="1"/>
      <c r="AG333">
        <v>1</v>
      </c>
      <c r="AH333">
        <v>0</v>
      </c>
      <c r="AI333">
        <v>0</v>
      </c>
      <c r="AJ333">
        <v>0</v>
      </c>
      <c r="AK333">
        <v>0</v>
      </c>
      <c r="AL333">
        <v>0</v>
      </c>
      <c r="AM333">
        <v>0</v>
      </c>
      <c r="AN333">
        <v>0</v>
      </c>
      <c r="AO333">
        <v>0</v>
      </c>
      <c r="AP333">
        <v>0</v>
      </c>
      <c r="AQ333">
        <v>0</v>
      </c>
      <c r="AR333">
        <v>18</v>
      </c>
      <c r="AS333" t="s">
        <v>2587</v>
      </c>
    </row>
    <row r="334" spans="1:45" x14ac:dyDescent="0.25">
      <c r="A334">
        <v>53</v>
      </c>
      <c r="B334" t="str">
        <f>VLOOKUP(A334,'model groups'!$A$3:$C$86,2,FALSE)</f>
        <v>offshore demersal carnivores</v>
      </c>
      <c r="C334" t="s">
        <v>1034</v>
      </c>
      <c r="D334" t="s">
        <v>1035</v>
      </c>
      <c r="E334" t="s">
        <v>1035</v>
      </c>
      <c r="G334" t="s">
        <v>195</v>
      </c>
      <c r="H334" t="s">
        <v>1027</v>
      </c>
      <c r="I334" t="s">
        <v>1028</v>
      </c>
      <c r="J334" t="s">
        <v>1036</v>
      </c>
      <c r="K334" t="s">
        <v>1037</v>
      </c>
      <c r="L334">
        <v>1.0964968980000001</v>
      </c>
      <c r="N334">
        <v>24.21454782</v>
      </c>
      <c r="O334">
        <v>3.47</v>
      </c>
      <c r="P334">
        <v>39.880000000000003</v>
      </c>
      <c r="R334" t="s">
        <v>70</v>
      </c>
      <c r="S334" t="s">
        <v>109</v>
      </c>
      <c r="T334" t="str">
        <f>IF(OR(AK334=1,AN334=1),"reef","no")</f>
        <v>no</v>
      </c>
      <c r="U334" s="1">
        <v>8.8000001596720001E-2</v>
      </c>
      <c r="V334" s="1">
        <v>0.48099999848764002</v>
      </c>
      <c r="W334" s="1">
        <v>0</v>
      </c>
      <c r="X334" s="1">
        <v>0.11100000340483999</v>
      </c>
      <c r="Y334" s="1">
        <v>0</v>
      </c>
      <c r="Z334" s="1">
        <v>0</v>
      </c>
      <c r="AA334" s="1">
        <v>0.31999999651079997</v>
      </c>
      <c r="AB334" s="1">
        <v>0</v>
      </c>
      <c r="AC334">
        <v>1</v>
      </c>
      <c r="AD334">
        <v>0</v>
      </c>
      <c r="AE334">
        <v>0</v>
      </c>
      <c r="AF334">
        <v>0</v>
      </c>
      <c r="AG334">
        <v>1</v>
      </c>
      <c r="AH334">
        <v>0</v>
      </c>
      <c r="AI334">
        <v>0</v>
      </c>
      <c r="AJ334">
        <v>0</v>
      </c>
      <c r="AK334">
        <v>0</v>
      </c>
      <c r="AL334">
        <v>0</v>
      </c>
      <c r="AM334">
        <v>0</v>
      </c>
      <c r="AN334">
        <v>0</v>
      </c>
      <c r="AO334">
        <v>0</v>
      </c>
      <c r="AP334">
        <v>0</v>
      </c>
      <c r="AQ334">
        <v>0</v>
      </c>
      <c r="AR334">
        <v>18</v>
      </c>
      <c r="AS334" t="s">
        <v>2587</v>
      </c>
    </row>
    <row r="335" spans="1:45" x14ac:dyDescent="0.25">
      <c r="A335">
        <v>53</v>
      </c>
      <c r="B335" t="str">
        <f>VLOOKUP(A335,'model groups'!$A$3:$C$86,2,FALSE)</f>
        <v>offshore demersal carnivores</v>
      </c>
      <c r="C335" t="s">
        <v>1038</v>
      </c>
      <c r="D335" t="s">
        <v>1039</v>
      </c>
      <c r="E335" t="s">
        <v>1039</v>
      </c>
      <c r="G335" t="s">
        <v>195</v>
      </c>
      <c r="H335" t="s">
        <v>1027</v>
      </c>
      <c r="I335" t="s">
        <v>1028</v>
      </c>
      <c r="J335" t="s">
        <v>1036</v>
      </c>
      <c r="L335">
        <v>0.79753164600000004</v>
      </c>
      <c r="N335">
        <v>39.688532180000003</v>
      </c>
      <c r="O335">
        <v>3.47</v>
      </c>
      <c r="P335">
        <v>57.68</v>
      </c>
      <c r="R335" t="s">
        <v>70</v>
      </c>
      <c r="S335" t="s">
        <v>77</v>
      </c>
      <c r="T335" t="str">
        <f>IF(OR(AK335=1,AN335=1),"reef","no")</f>
        <v>no</v>
      </c>
      <c r="U335" s="1">
        <v>8.8000001596720001E-2</v>
      </c>
      <c r="V335" s="1">
        <v>0.48099999848764002</v>
      </c>
      <c r="W335" s="1">
        <v>0</v>
      </c>
      <c r="X335" s="1">
        <v>0.11100000340483999</v>
      </c>
      <c r="Y335" s="1">
        <v>0</v>
      </c>
      <c r="Z335" s="1">
        <v>0</v>
      </c>
      <c r="AA335" s="1">
        <v>0.31999999651079997</v>
      </c>
      <c r="AB335" s="1">
        <v>0</v>
      </c>
      <c r="AC335">
        <v>1</v>
      </c>
      <c r="AD335">
        <v>0</v>
      </c>
      <c r="AE335">
        <v>0</v>
      </c>
      <c r="AF335">
        <v>0</v>
      </c>
      <c r="AG335">
        <v>1</v>
      </c>
      <c r="AH335">
        <v>0</v>
      </c>
      <c r="AI335">
        <v>0</v>
      </c>
      <c r="AJ335">
        <v>0</v>
      </c>
      <c r="AK335">
        <v>0</v>
      </c>
      <c r="AL335">
        <v>0</v>
      </c>
      <c r="AM335">
        <v>1</v>
      </c>
      <c r="AN335">
        <v>0</v>
      </c>
      <c r="AO335">
        <v>0</v>
      </c>
      <c r="AP335">
        <v>0</v>
      </c>
      <c r="AQ335">
        <v>0</v>
      </c>
      <c r="AR335">
        <v>18</v>
      </c>
      <c r="AS335" t="s">
        <v>2587</v>
      </c>
    </row>
    <row r="336" spans="1:45" x14ac:dyDescent="0.25">
      <c r="A336">
        <v>53</v>
      </c>
      <c r="B336" t="str">
        <f>VLOOKUP(A336,'model groups'!$A$3:$C$86,2,FALSE)</f>
        <v>offshore demersal carnivores</v>
      </c>
      <c r="C336" t="s">
        <v>1040</v>
      </c>
      <c r="D336" t="s">
        <v>1041</v>
      </c>
      <c r="E336" t="s">
        <v>1041</v>
      </c>
      <c r="G336" t="s">
        <v>195</v>
      </c>
      <c r="H336" t="s">
        <v>1027</v>
      </c>
      <c r="I336" t="s">
        <v>1028</v>
      </c>
      <c r="J336" t="s">
        <v>1036</v>
      </c>
      <c r="K336" t="s">
        <v>1042</v>
      </c>
      <c r="L336">
        <v>0.90742832200000001</v>
      </c>
      <c r="N336">
        <v>32.482469770000002</v>
      </c>
      <c r="O336">
        <v>3.47</v>
      </c>
      <c r="P336">
        <v>50.88</v>
      </c>
      <c r="R336" t="s">
        <v>70</v>
      </c>
      <c r="S336" t="s">
        <v>109</v>
      </c>
      <c r="T336" t="str">
        <f>IF(OR(AK336=1,AN336=1),"reef","no")</f>
        <v>no</v>
      </c>
      <c r="U336" s="1">
        <v>8.8000001596720001E-2</v>
      </c>
      <c r="V336" s="1">
        <v>0.48099999848764002</v>
      </c>
      <c r="W336" s="1">
        <v>0</v>
      </c>
      <c r="X336" s="1">
        <v>0.11100000340483999</v>
      </c>
      <c r="Y336" s="1">
        <v>0</v>
      </c>
      <c r="Z336" s="1">
        <v>0</v>
      </c>
      <c r="AA336" s="1">
        <v>0.31999999651079997</v>
      </c>
      <c r="AB336" s="1">
        <v>0</v>
      </c>
      <c r="AC336">
        <v>1</v>
      </c>
      <c r="AD336">
        <v>0</v>
      </c>
      <c r="AE336">
        <v>0</v>
      </c>
      <c r="AF336">
        <v>0</v>
      </c>
      <c r="AG336">
        <v>0</v>
      </c>
      <c r="AH336">
        <v>0</v>
      </c>
      <c r="AI336">
        <v>0</v>
      </c>
      <c r="AJ336">
        <v>0</v>
      </c>
      <c r="AK336">
        <v>0</v>
      </c>
      <c r="AL336">
        <v>0</v>
      </c>
      <c r="AM336">
        <v>1</v>
      </c>
      <c r="AN336">
        <v>0</v>
      </c>
      <c r="AO336">
        <v>0</v>
      </c>
      <c r="AP336">
        <v>0</v>
      </c>
      <c r="AQ336">
        <v>0</v>
      </c>
      <c r="AR336">
        <v>18</v>
      </c>
      <c r="AS336" t="s">
        <v>2587</v>
      </c>
    </row>
    <row r="337" spans="1:45" x14ac:dyDescent="0.25">
      <c r="A337">
        <v>53</v>
      </c>
      <c r="B337" t="str">
        <f>VLOOKUP(A337,'model groups'!$A$3:$C$86,2,FALSE)</f>
        <v>offshore demersal carnivores</v>
      </c>
      <c r="C337" t="s">
        <v>1043</v>
      </c>
      <c r="D337" t="s">
        <v>1044</v>
      </c>
      <c r="E337" t="s">
        <v>1044</v>
      </c>
      <c r="G337" t="s">
        <v>195</v>
      </c>
      <c r="H337" t="s">
        <v>1027</v>
      </c>
      <c r="I337" t="s">
        <v>1028</v>
      </c>
      <c r="J337" t="s">
        <v>1036</v>
      </c>
      <c r="K337" t="s">
        <v>2544</v>
      </c>
      <c r="T337" t="str">
        <f>IF(OR(AK337=1,AN337=1),"reef","no")</f>
        <v>no</v>
      </c>
      <c r="U337" s="1"/>
      <c r="V337" s="1"/>
      <c r="W337" s="1"/>
      <c r="X337" s="1"/>
      <c r="Y337" s="1"/>
      <c r="Z337" s="1"/>
      <c r="AA337" s="1"/>
      <c r="AB337" s="1"/>
      <c r="AG337">
        <v>1</v>
      </c>
      <c r="AH337">
        <v>0</v>
      </c>
      <c r="AI337">
        <v>0</v>
      </c>
      <c r="AJ337">
        <v>0</v>
      </c>
      <c r="AK337">
        <v>0</v>
      </c>
      <c r="AL337">
        <v>0</v>
      </c>
      <c r="AM337">
        <v>0</v>
      </c>
      <c r="AN337">
        <v>0</v>
      </c>
      <c r="AO337">
        <v>0</v>
      </c>
      <c r="AP337">
        <v>0</v>
      </c>
      <c r="AQ337">
        <v>0</v>
      </c>
      <c r="AR337">
        <v>18</v>
      </c>
      <c r="AS337" t="s">
        <v>2587</v>
      </c>
    </row>
    <row r="338" spans="1:45" x14ac:dyDescent="0.25">
      <c r="A338">
        <v>53</v>
      </c>
      <c r="B338" t="str">
        <f>VLOOKUP(A338,'model groups'!$A$3:$C$86,2,FALSE)</f>
        <v>offshore demersal carnivores</v>
      </c>
      <c r="C338" t="s">
        <v>1045</v>
      </c>
      <c r="D338" t="s">
        <v>1046</v>
      </c>
      <c r="E338" t="s">
        <v>1046</v>
      </c>
      <c r="G338" t="s">
        <v>241</v>
      </c>
      <c r="H338" t="s">
        <v>1027</v>
      </c>
      <c r="I338" t="s">
        <v>1028</v>
      </c>
      <c r="J338" t="s">
        <v>1036</v>
      </c>
      <c r="K338" t="s">
        <v>2548</v>
      </c>
      <c r="AR338">
        <v>18</v>
      </c>
      <c r="AS338" t="s">
        <v>2587</v>
      </c>
    </row>
    <row r="339" spans="1:45" x14ac:dyDescent="0.25">
      <c r="A339">
        <v>53</v>
      </c>
      <c r="B339" t="str">
        <f>VLOOKUP(A339,'model groups'!$A$3:$C$86,2,FALSE)</f>
        <v>offshore demersal carnivores</v>
      </c>
      <c r="C339" t="s">
        <v>379</v>
      </c>
      <c r="D339" t="s">
        <v>1047</v>
      </c>
      <c r="E339" t="s">
        <v>1047</v>
      </c>
      <c r="G339" t="s">
        <v>241</v>
      </c>
      <c r="H339" t="s">
        <v>1027</v>
      </c>
      <c r="I339" t="s">
        <v>1028</v>
      </c>
      <c r="J339" t="s">
        <v>1036</v>
      </c>
      <c r="AR339">
        <v>18</v>
      </c>
      <c r="AS339" t="s">
        <v>2587</v>
      </c>
    </row>
    <row r="340" spans="1:45" x14ac:dyDescent="0.25">
      <c r="A340">
        <v>53</v>
      </c>
      <c r="B340" t="str">
        <f>VLOOKUP(A340,'model groups'!$A$3:$C$86,2,FALSE)</f>
        <v>offshore demersal carnivores</v>
      </c>
      <c r="D340" t="s">
        <v>1048</v>
      </c>
      <c r="E340" t="s">
        <v>1048</v>
      </c>
      <c r="G340" t="s">
        <v>241</v>
      </c>
      <c r="H340" t="s">
        <v>982</v>
      </c>
      <c r="I340" t="s">
        <v>1049</v>
      </c>
      <c r="J340" t="s">
        <v>1050</v>
      </c>
      <c r="K340" t="s">
        <v>1051</v>
      </c>
      <c r="AR340">
        <v>18</v>
      </c>
      <c r="AS340" t="s">
        <v>2587</v>
      </c>
    </row>
    <row r="341" spans="1:45" x14ac:dyDescent="0.25">
      <c r="A341">
        <v>53</v>
      </c>
      <c r="B341" t="str">
        <f>VLOOKUP(A341,'model groups'!$A$3:$C$86,2,FALSE)</f>
        <v>offshore demersal carnivores</v>
      </c>
      <c r="C341" t="s">
        <v>1052</v>
      </c>
      <c r="D341" t="s">
        <v>1053</v>
      </c>
      <c r="E341" t="s">
        <v>1053</v>
      </c>
      <c r="G341" t="s">
        <v>195</v>
      </c>
      <c r="H341" t="s">
        <v>982</v>
      </c>
      <c r="I341" t="s">
        <v>1049</v>
      </c>
      <c r="J341" t="s">
        <v>1054</v>
      </c>
      <c r="K341" t="s">
        <v>1055</v>
      </c>
      <c r="L341">
        <v>0.49355202399999998</v>
      </c>
      <c r="N341">
        <v>83.587263429999993</v>
      </c>
      <c r="P341">
        <v>37.909999999999997</v>
      </c>
      <c r="R341" t="s">
        <v>70</v>
      </c>
      <c r="S341" t="s">
        <v>109</v>
      </c>
      <c r="T341" t="str">
        <f>IF(OR(AK341=1,AN341=1),"reef","no")</f>
        <v>no</v>
      </c>
      <c r="U341" s="1"/>
      <c r="V341" s="1"/>
      <c r="W341" s="1"/>
      <c r="X341" s="1"/>
      <c r="Y341" s="1"/>
      <c r="Z341" s="1"/>
      <c r="AA341" s="1"/>
      <c r="AB341" s="1"/>
      <c r="AG341">
        <v>0</v>
      </c>
      <c r="AH341">
        <v>0</v>
      </c>
      <c r="AI341">
        <v>0</v>
      </c>
      <c r="AJ341">
        <v>1</v>
      </c>
      <c r="AK341">
        <v>0</v>
      </c>
      <c r="AL341">
        <v>0</v>
      </c>
      <c r="AM341">
        <v>0</v>
      </c>
      <c r="AN341">
        <v>0</v>
      </c>
      <c r="AO341">
        <v>0</v>
      </c>
      <c r="AP341">
        <v>0</v>
      </c>
      <c r="AQ341">
        <v>0</v>
      </c>
      <c r="AR341">
        <v>18</v>
      </c>
      <c r="AS341" t="s">
        <v>2587</v>
      </c>
    </row>
    <row r="342" spans="1:45" x14ac:dyDescent="0.25">
      <c r="A342">
        <v>53</v>
      </c>
      <c r="B342" t="str">
        <f>VLOOKUP(A342,'model groups'!$A$3:$C$86,2,FALSE)</f>
        <v>offshore demersal carnivores</v>
      </c>
      <c r="C342" t="s">
        <v>1056</v>
      </c>
      <c r="D342" t="s">
        <v>1057</v>
      </c>
      <c r="E342" t="s">
        <v>1057</v>
      </c>
      <c r="G342" t="s">
        <v>195</v>
      </c>
      <c r="H342" t="s">
        <v>982</v>
      </c>
      <c r="I342" t="s">
        <v>1049</v>
      </c>
      <c r="J342" t="s">
        <v>1054</v>
      </c>
      <c r="K342" t="s">
        <v>1058</v>
      </c>
      <c r="L342">
        <v>0.26896404800000001</v>
      </c>
      <c r="N342">
        <v>214.4501549</v>
      </c>
      <c r="P342">
        <v>74.39</v>
      </c>
      <c r="R342" t="s">
        <v>70</v>
      </c>
      <c r="S342" t="s">
        <v>109</v>
      </c>
      <c r="T342" t="str">
        <f>IF(OR(AK342=1,AN342=1),"reef","no")</f>
        <v>no</v>
      </c>
      <c r="U342" s="1"/>
      <c r="V342" s="1"/>
      <c r="W342" s="1"/>
      <c r="X342" s="1"/>
      <c r="Y342" s="1"/>
      <c r="Z342" s="1"/>
      <c r="AA342" s="1"/>
      <c r="AB342" s="1"/>
      <c r="AG342">
        <v>0</v>
      </c>
      <c r="AH342">
        <v>0</v>
      </c>
      <c r="AI342">
        <v>0</v>
      </c>
      <c r="AJ342">
        <v>1</v>
      </c>
      <c r="AK342">
        <v>0</v>
      </c>
      <c r="AL342">
        <v>0</v>
      </c>
      <c r="AM342">
        <v>0</v>
      </c>
      <c r="AN342">
        <v>0</v>
      </c>
      <c r="AO342">
        <v>0</v>
      </c>
      <c r="AP342">
        <v>0</v>
      </c>
      <c r="AQ342">
        <v>0</v>
      </c>
      <c r="AR342">
        <v>18</v>
      </c>
      <c r="AS342" t="s">
        <v>2587</v>
      </c>
    </row>
    <row r="343" spans="1:45" x14ac:dyDescent="0.25">
      <c r="A343">
        <v>53</v>
      </c>
      <c r="B343" t="str">
        <f>VLOOKUP(A343,'model groups'!$A$3:$C$86,2,FALSE)</f>
        <v>offshore demersal carnivores</v>
      </c>
      <c r="D343" t="s">
        <v>1059</v>
      </c>
      <c r="E343" t="s">
        <v>1059</v>
      </c>
      <c r="G343" t="s">
        <v>241</v>
      </c>
      <c r="H343" t="s">
        <v>1060</v>
      </c>
      <c r="I343" t="s">
        <v>1061</v>
      </c>
      <c r="J343" t="s">
        <v>1062</v>
      </c>
      <c r="K343" t="s">
        <v>1063</v>
      </c>
      <c r="AR343">
        <v>18</v>
      </c>
      <c r="AS343" t="s">
        <v>2587</v>
      </c>
    </row>
    <row r="344" spans="1:45" x14ac:dyDescent="0.25">
      <c r="A344">
        <v>53</v>
      </c>
      <c r="B344" t="str">
        <f>VLOOKUP(A344,'model groups'!$A$3:$C$86,2,FALSE)</f>
        <v>offshore demersal carnivores</v>
      </c>
      <c r="C344" t="s">
        <v>1064</v>
      </c>
      <c r="D344" t="s">
        <v>1065</v>
      </c>
      <c r="E344" t="s">
        <v>1065</v>
      </c>
      <c r="G344" t="s">
        <v>241</v>
      </c>
      <c r="H344" t="s">
        <v>1060</v>
      </c>
      <c r="I344" t="s">
        <v>1061</v>
      </c>
      <c r="J344" t="s">
        <v>1066</v>
      </c>
      <c r="AR344">
        <v>18</v>
      </c>
      <c r="AS344" t="s">
        <v>2587</v>
      </c>
    </row>
    <row r="345" spans="1:45" x14ac:dyDescent="0.25">
      <c r="A345">
        <v>53</v>
      </c>
      <c r="B345" t="str">
        <f>VLOOKUP(A345,'model groups'!$A$3:$C$86,2,FALSE)</f>
        <v>offshore demersal carnivores</v>
      </c>
      <c r="C345" t="s">
        <v>1067</v>
      </c>
      <c r="D345" t="s">
        <v>1068</v>
      </c>
      <c r="E345" t="s">
        <v>1068</v>
      </c>
      <c r="G345" t="s">
        <v>195</v>
      </c>
      <c r="H345" t="s">
        <v>1060</v>
      </c>
      <c r="I345" t="s">
        <v>1061</v>
      </c>
      <c r="J345" t="s">
        <v>1069</v>
      </c>
      <c r="K345" t="s">
        <v>1070</v>
      </c>
      <c r="L345">
        <v>0.93441072700000005</v>
      </c>
      <c r="M345">
        <v>10.994493970000001</v>
      </c>
      <c r="N345">
        <v>31.03831761</v>
      </c>
      <c r="O345">
        <v>3.3849999999999998</v>
      </c>
      <c r="P345">
        <v>35.82</v>
      </c>
      <c r="Q345">
        <v>1.0817319999999999</v>
      </c>
      <c r="R345" t="s">
        <v>70</v>
      </c>
      <c r="S345" t="s">
        <v>77</v>
      </c>
      <c r="T345" t="str">
        <f>IF(OR(AK345=1,AN345=1),"reef","no")</f>
        <v>no</v>
      </c>
      <c r="U345" s="1">
        <v>3.6999999295540001E-2</v>
      </c>
      <c r="V345" s="1">
        <v>0.55666666533379994</v>
      </c>
      <c r="W345" s="1">
        <v>7.4166666701150005E-2</v>
      </c>
      <c r="X345" s="1">
        <v>0</v>
      </c>
      <c r="Y345" s="1">
        <v>0</v>
      </c>
      <c r="Z345" s="1">
        <v>0</v>
      </c>
      <c r="AA345" s="1">
        <v>0.31016666898027001</v>
      </c>
      <c r="AB345" s="1">
        <v>2.1999999689240001E-2</v>
      </c>
      <c r="AC345">
        <v>0</v>
      </c>
      <c r="AD345">
        <v>0</v>
      </c>
      <c r="AE345">
        <v>0</v>
      </c>
      <c r="AF345">
        <v>0</v>
      </c>
      <c r="AG345">
        <v>1</v>
      </c>
      <c r="AH345">
        <v>0</v>
      </c>
      <c r="AI345">
        <v>0</v>
      </c>
      <c r="AJ345">
        <v>0</v>
      </c>
      <c r="AK345">
        <v>0</v>
      </c>
      <c r="AL345">
        <v>0</v>
      </c>
      <c r="AM345">
        <v>0</v>
      </c>
      <c r="AN345">
        <v>0</v>
      </c>
      <c r="AO345">
        <v>0</v>
      </c>
      <c r="AP345">
        <v>0</v>
      </c>
      <c r="AQ345">
        <v>0</v>
      </c>
      <c r="AR345">
        <v>18</v>
      </c>
      <c r="AS345" t="s">
        <v>2587</v>
      </c>
    </row>
    <row r="346" spans="1:45" x14ac:dyDescent="0.25">
      <c r="A346">
        <v>53</v>
      </c>
      <c r="B346" t="str">
        <f>VLOOKUP(A346,'model groups'!$A$3:$C$86,2,FALSE)</f>
        <v>offshore demersal carnivores</v>
      </c>
      <c r="C346" t="s">
        <v>1071</v>
      </c>
      <c r="D346" t="s">
        <v>1072</v>
      </c>
      <c r="E346" t="s">
        <v>1072</v>
      </c>
      <c r="G346" t="s">
        <v>241</v>
      </c>
      <c r="H346" t="s">
        <v>1060</v>
      </c>
      <c r="I346" t="s">
        <v>1061</v>
      </c>
      <c r="J346" t="s">
        <v>1069</v>
      </c>
      <c r="AR346">
        <v>18</v>
      </c>
      <c r="AS346" t="s">
        <v>2587</v>
      </c>
    </row>
    <row r="347" spans="1:45" x14ac:dyDescent="0.25">
      <c r="A347">
        <v>53</v>
      </c>
      <c r="B347" t="str">
        <f>VLOOKUP(A347,'model groups'!$A$3:$C$86,2,FALSE)</f>
        <v>offshore demersal carnivores</v>
      </c>
      <c r="C347" t="s">
        <v>379</v>
      </c>
      <c r="D347" t="s">
        <v>1073</v>
      </c>
      <c r="E347" t="s">
        <v>1073</v>
      </c>
      <c r="G347" t="s">
        <v>241</v>
      </c>
      <c r="H347" t="s">
        <v>1060</v>
      </c>
      <c r="I347" t="s">
        <v>1061</v>
      </c>
      <c r="J347" t="s">
        <v>1074</v>
      </c>
      <c r="AR347">
        <v>18</v>
      </c>
      <c r="AS347" t="s">
        <v>2587</v>
      </c>
    </row>
    <row r="348" spans="1:45" x14ac:dyDescent="0.25">
      <c r="A348">
        <v>53</v>
      </c>
      <c r="B348" t="str">
        <f>VLOOKUP(A348,'model groups'!$A$3:$C$86,2,FALSE)</f>
        <v>offshore demersal carnivores</v>
      </c>
      <c r="C348" t="s">
        <v>1075</v>
      </c>
      <c r="D348" t="s">
        <v>1076</v>
      </c>
      <c r="E348" t="s">
        <v>1076</v>
      </c>
      <c r="G348" t="s">
        <v>241</v>
      </c>
      <c r="H348" t="s">
        <v>1060</v>
      </c>
      <c r="I348" t="s">
        <v>1061</v>
      </c>
      <c r="J348" t="s">
        <v>1074</v>
      </c>
      <c r="AR348">
        <v>18</v>
      </c>
      <c r="AS348" t="s">
        <v>2587</v>
      </c>
    </row>
    <row r="349" spans="1:45" x14ac:dyDescent="0.25">
      <c r="A349">
        <v>53</v>
      </c>
      <c r="B349" t="str">
        <f>VLOOKUP(A349,'model groups'!$A$3:$C$86,2,FALSE)</f>
        <v>offshore demersal carnivores</v>
      </c>
      <c r="C349" t="s">
        <v>1077</v>
      </c>
      <c r="D349" t="s">
        <v>1078</v>
      </c>
      <c r="E349" t="s">
        <v>1078</v>
      </c>
      <c r="G349" t="s">
        <v>195</v>
      </c>
      <c r="H349" t="s">
        <v>1060</v>
      </c>
      <c r="I349" t="s">
        <v>1061</v>
      </c>
      <c r="J349" t="s">
        <v>1079</v>
      </c>
      <c r="K349" t="s">
        <v>1080</v>
      </c>
      <c r="L349">
        <v>0.92649175900000003</v>
      </c>
      <c r="N349">
        <v>31.451041149999998</v>
      </c>
      <c r="P349">
        <v>28.12</v>
      </c>
      <c r="Q349">
        <v>1.0817319999999999</v>
      </c>
      <c r="R349" t="s">
        <v>70</v>
      </c>
      <c r="S349" t="s">
        <v>77</v>
      </c>
      <c r="T349" t="str">
        <f>IF(OR(AK349=1,AN349=1),"reef","no")</f>
        <v>no</v>
      </c>
      <c r="U349" s="1"/>
      <c r="V349" s="1"/>
      <c r="W349" s="1"/>
      <c r="X349" s="1"/>
      <c r="Y349" s="1"/>
      <c r="Z349" s="1"/>
      <c r="AA349" s="1"/>
      <c r="AB349" s="1"/>
      <c r="AG349">
        <v>1</v>
      </c>
      <c r="AH349">
        <v>0</v>
      </c>
      <c r="AI349">
        <v>0</v>
      </c>
      <c r="AJ349">
        <v>0</v>
      </c>
      <c r="AK349">
        <v>0</v>
      </c>
      <c r="AL349">
        <v>0</v>
      </c>
      <c r="AM349">
        <v>0</v>
      </c>
      <c r="AN349">
        <v>0</v>
      </c>
      <c r="AO349">
        <v>0</v>
      </c>
      <c r="AP349">
        <v>0</v>
      </c>
      <c r="AQ349">
        <v>0</v>
      </c>
      <c r="AR349">
        <v>18</v>
      </c>
      <c r="AS349" t="s">
        <v>2587</v>
      </c>
    </row>
    <row r="350" spans="1:45" x14ac:dyDescent="0.25">
      <c r="A350">
        <v>53</v>
      </c>
      <c r="B350" t="str">
        <f>VLOOKUP(A350,'model groups'!$A$3:$C$86,2,FALSE)</f>
        <v>offshore demersal carnivores</v>
      </c>
      <c r="C350" t="s">
        <v>1077</v>
      </c>
      <c r="D350" t="s">
        <v>1081</v>
      </c>
      <c r="E350" t="s">
        <v>1082</v>
      </c>
      <c r="G350" t="s">
        <v>195</v>
      </c>
      <c r="H350" t="s">
        <v>1060</v>
      </c>
      <c r="I350" t="s">
        <v>1061</v>
      </c>
      <c r="J350" t="s">
        <v>1079</v>
      </c>
      <c r="K350" t="s">
        <v>1080</v>
      </c>
      <c r="L350">
        <v>0.92649175900000003</v>
      </c>
      <c r="N350">
        <v>31.451041149999998</v>
      </c>
      <c r="P350">
        <v>28.12</v>
      </c>
      <c r="Q350">
        <v>1.0817319999999999</v>
      </c>
      <c r="R350" t="s">
        <v>70</v>
      </c>
      <c r="S350" t="s">
        <v>77</v>
      </c>
      <c r="T350" t="str">
        <f>IF(OR(AK350=1,AN350=1),"reef","no")</f>
        <v>no</v>
      </c>
      <c r="U350" s="1"/>
      <c r="V350" s="1"/>
      <c r="W350" s="1"/>
      <c r="X350" s="1"/>
      <c r="Y350" s="1"/>
      <c r="Z350" s="1"/>
      <c r="AA350" s="1"/>
      <c r="AB350" s="1"/>
      <c r="AG350">
        <v>1</v>
      </c>
      <c r="AH350">
        <v>0</v>
      </c>
      <c r="AI350">
        <v>0</v>
      </c>
      <c r="AJ350">
        <v>0</v>
      </c>
      <c r="AK350">
        <v>0</v>
      </c>
      <c r="AL350">
        <v>0</v>
      </c>
      <c r="AM350">
        <v>0</v>
      </c>
      <c r="AN350">
        <v>0</v>
      </c>
      <c r="AO350">
        <v>0</v>
      </c>
      <c r="AP350">
        <v>0</v>
      </c>
      <c r="AQ350">
        <v>0</v>
      </c>
      <c r="AR350">
        <v>18</v>
      </c>
      <c r="AS350" t="s">
        <v>2587</v>
      </c>
    </row>
    <row r="351" spans="1:45" x14ac:dyDescent="0.25">
      <c r="A351">
        <v>53</v>
      </c>
      <c r="B351" t="str">
        <f>VLOOKUP(A351,'model groups'!$A$3:$C$86,2,FALSE)</f>
        <v>offshore demersal carnivores</v>
      </c>
      <c r="C351" t="s">
        <v>1077</v>
      </c>
      <c r="D351" t="s">
        <v>1081</v>
      </c>
      <c r="E351" t="s">
        <v>1081</v>
      </c>
      <c r="G351" t="s">
        <v>195</v>
      </c>
      <c r="H351" t="s">
        <v>1060</v>
      </c>
      <c r="I351" t="s">
        <v>1061</v>
      </c>
      <c r="J351" t="s">
        <v>1079</v>
      </c>
      <c r="K351" t="s">
        <v>1080</v>
      </c>
      <c r="L351">
        <v>0.92649175900000003</v>
      </c>
      <c r="N351">
        <v>31.451041149999998</v>
      </c>
      <c r="P351">
        <v>28.12</v>
      </c>
      <c r="Q351">
        <v>1.0817319999999999</v>
      </c>
      <c r="R351" t="s">
        <v>70</v>
      </c>
      <c r="S351" t="s">
        <v>77</v>
      </c>
      <c r="T351" t="str">
        <f>IF(OR(AK351=1,AN351=1),"reef","no")</f>
        <v>no</v>
      </c>
      <c r="U351" s="1"/>
      <c r="V351" s="1"/>
      <c r="W351" s="1"/>
      <c r="X351" s="1"/>
      <c r="Y351" s="1"/>
      <c r="Z351" s="1"/>
      <c r="AA351" s="1"/>
      <c r="AB351" s="1"/>
      <c r="AG351">
        <v>0</v>
      </c>
      <c r="AH351">
        <v>0</v>
      </c>
      <c r="AI351">
        <v>0</v>
      </c>
      <c r="AJ351">
        <v>0</v>
      </c>
      <c r="AK351">
        <v>0</v>
      </c>
      <c r="AL351">
        <v>0</v>
      </c>
      <c r="AM351">
        <v>1</v>
      </c>
      <c r="AN351">
        <v>0</v>
      </c>
      <c r="AO351">
        <v>0</v>
      </c>
      <c r="AP351">
        <v>0</v>
      </c>
      <c r="AQ351">
        <v>0</v>
      </c>
      <c r="AR351">
        <v>18</v>
      </c>
      <c r="AS351" t="s">
        <v>2587</v>
      </c>
    </row>
    <row r="352" spans="1:45" x14ac:dyDescent="0.25">
      <c r="A352">
        <v>53</v>
      </c>
      <c r="B352" t="str">
        <f>VLOOKUP(A352,'model groups'!$A$3:$C$86,2,FALSE)</f>
        <v>offshore demersal carnivores</v>
      </c>
      <c r="D352" t="s">
        <v>1083</v>
      </c>
      <c r="E352" t="s">
        <v>1083</v>
      </c>
      <c r="G352" t="s">
        <v>241</v>
      </c>
      <c r="H352" t="s">
        <v>1060</v>
      </c>
      <c r="I352" t="s">
        <v>1061</v>
      </c>
      <c r="J352" t="s">
        <v>1079</v>
      </c>
      <c r="K352" t="s">
        <v>379</v>
      </c>
      <c r="AR352">
        <v>18</v>
      </c>
      <c r="AS352" t="s">
        <v>2587</v>
      </c>
    </row>
    <row r="353" spans="1:45" x14ac:dyDescent="0.25">
      <c r="A353">
        <v>53</v>
      </c>
      <c r="B353" t="str">
        <f>VLOOKUP(A353,'model groups'!$A$3:$C$86,2,FALSE)</f>
        <v>offshore demersal carnivores</v>
      </c>
      <c r="D353" t="s">
        <v>1084</v>
      </c>
      <c r="E353" t="s">
        <v>1084</v>
      </c>
      <c r="G353" t="s">
        <v>241</v>
      </c>
      <c r="H353" t="s">
        <v>1060</v>
      </c>
      <c r="I353" t="s">
        <v>1061</v>
      </c>
      <c r="J353" t="s">
        <v>1079</v>
      </c>
      <c r="K353" t="s">
        <v>1085</v>
      </c>
      <c r="AR353">
        <v>18</v>
      </c>
      <c r="AS353" t="s">
        <v>2587</v>
      </c>
    </row>
    <row r="354" spans="1:45" x14ac:dyDescent="0.25">
      <c r="A354">
        <v>53</v>
      </c>
      <c r="B354" t="str">
        <f>VLOOKUP(A354,'model groups'!$A$3:$C$86,2,FALSE)</f>
        <v>offshore demersal carnivores</v>
      </c>
      <c r="D354" t="s">
        <v>1086</v>
      </c>
      <c r="E354" t="s">
        <v>1086</v>
      </c>
      <c r="G354" t="s">
        <v>241</v>
      </c>
      <c r="H354" t="s">
        <v>1060</v>
      </c>
      <c r="I354" t="s">
        <v>1061</v>
      </c>
      <c r="J354" t="s">
        <v>1087</v>
      </c>
      <c r="K354" t="s">
        <v>1088</v>
      </c>
      <c r="AR354">
        <v>18</v>
      </c>
      <c r="AS354" t="s">
        <v>2587</v>
      </c>
    </row>
    <row r="355" spans="1:45" x14ac:dyDescent="0.25">
      <c r="A355">
        <v>53</v>
      </c>
      <c r="B355" t="str">
        <f>VLOOKUP(A355,'model groups'!$A$3:$C$86,2,FALSE)</f>
        <v>offshore demersal carnivores</v>
      </c>
      <c r="C355" t="s">
        <v>1089</v>
      </c>
      <c r="D355" t="s">
        <v>1090</v>
      </c>
      <c r="E355" t="s">
        <v>1090</v>
      </c>
      <c r="G355" t="s">
        <v>241</v>
      </c>
      <c r="H355" t="s">
        <v>1060</v>
      </c>
      <c r="I355" t="s">
        <v>1061</v>
      </c>
      <c r="J355" t="s">
        <v>1091</v>
      </c>
      <c r="AR355">
        <v>18</v>
      </c>
      <c r="AS355" t="s">
        <v>2587</v>
      </c>
    </row>
    <row r="356" spans="1:45" x14ac:dyDescent="0.25">
      <c r="A356">
        <v>53</v>
      </c>
      <c r="B356" t="str">
        <f>VLOOKUP(A356,'model groups'!$A$3:$C$86,2,FALSE)</f>
        <v>offshore demersal carnivores</v>
      </c>
      <c r="C356" t="s">
        <v>1092</v>
      </c>
      <c r="D356" t="s">
        <v>1093</v>
      </c>
      <c r="E356" t="s">
        <v>1093</v>
      </c>
      <c r="G356" t="s">
        <v>195</v>
      </c>
      <c r="H356" t="s">
        <v>470</v>
      </c>
      <c r="I356" t="s">
        <v>471</v>
      </c>
      <c r="J356" t="s">
        <v>1094</v>
      </c>
      <c r="K356" t="s">
        <v>1095</v>
      </c>
      <c r="L356">
        <v>1.040032415</v>
      </c>
      <c r="N356">
        <v>26.285289379999998</v>
      </c>
      <c r="O356">
        <v>3.52</v>
      </c>
      <c r="P356">
        <v>27.8</v>
      </c>
      <c r="Q356">
        <v>1.56924</v>
      </c>
      <c r="R356" t="s">
        <v>70</v>
      </c>
      <c r="S356" t="s">
        <v>109</v>
      </c>
      <c r="T356" t="str">
        <f>IF(OR(AK356=1,AN356=1),"reef","no")</f>
        <v>no</v>
      </c>
      <c r="U356" s="1"/>
      <c r="V356" s="1"/>
      <c r="W356" s="1"/>
      <c r="X356" s="1"/>
      <c r="Y356" s="1"/>
      <c r="Z356" s="1"/>
      <c r="AA356" s="1"/>
      <c r="AB356" s="1"/>
      <c r="AC356">
        <v>0</v>
      </c>
      <c r="AD356">
        <v>0</v>
      </c>
      <c r="AE356">
        <v>0</v>
      </c>
      <c r="AF356">
        <v>0</v>
      </c>
      <c r="AG356">
        <v>1</v>
      </c>
      <c r="AH356">
        <v>0</v>
      </c>
      <c r="AI356">
        <v>0</v>
      </c>
      <c r="AJ356">
        <v>0</v>
      </c>
      <c r="AK356">
        <v>0</v>
      </c>
      <c r="AL356">
        <v>0</v>
      </c>
      <c r="AM356">
        <v>1</v>
      </c>
      <c r="AN356">
        <v>0</v>
      </c>
      <c r="AO356">
        <v>0</v>
      </c>
      <c r="AP356">
        <v>0</v>
      </c>
      <c r="AQ356">
        <v>0</v>
      </c>
      <c r="AR356">
        <v>18</v>
      </c>
      <c r="AS356" t="s">
        <v>2587</v>
      </c>
    </row>
    <row r="357" spans="1:45" x14ac:dyDescent="0.25">
      <c r="A357">
        <v>53</v>
      </c>
      <c r="B357" t="str">
        <f>VLOOKUP(A357,'model groups'!$A$3:$C$86,2,FALSE)</f>
        <v>offshore demersal carnivores</v>
      </c>
      <c r="C357" t="s">
        <v>1092</v>
      </c>
      <c r="D357" t="s">
        <v>1096</v>
      </c>
      <c r="E357" t="s">
        <v>1096</v>
      </c>
      <c r="G357" t="s">
        <v>241</v>
      </c>
      <c r="H357" t="s">
        <v>470</v>
      </c>
      <c r="I357" t="s">
        <v>471</v>
      </c>
      <c r="J357" t="s">
        <v>1094</v>
      </c>
      <c r="AR357">
        <v>18</v>
      </c>
      <c r="AS357" t="s">
        <v>2587</v>
      </c>
    </row>
    <row r="358" spans="1:45" x14ac:dyDescent="0.25">
      <c r="A358">
        <v>53</v>
      </c>
      <c r="B358" t="str">
        <f>VLOOKUP(A358,'model groups'!$A$3:$C$86,2,FALSE)</f>
        <v>offshore demersal carnivores</v>
      </c>
      <c r="C358" t="s">
        <v>1097</v>
      </c>
      <c r="D358" t="s">
        <v>1098</v>
      </c>
      <c r="E358" t="s">
        <v>1098</v>
      </c>
      <c r="G358" t="s">
        <v>195</v>
      </c>
      <c r="H358" t="s">
        <v>470</v>
      </c>
      <c r="I358" t="s">
        <v>471</v>
      </c>
      <c r="J358" t="s">
        <v>531</v>
      </c>
      <c r="K358" t="s">
        <v>1099</v>
      </c>
      <c r="L358">
        <v>1.5744053410000001</v>
      </c>
      <c r="M358">
        <v>12.7469226</v>
      </c>
      <c r="N358">
        <v>13.81120759</v>
      </c>
      <c r="O358">
        <v>3.384999986</v>
      </c>
      <c r="P358">
        <v>16.489999999999998</v>
      </c>
      <c r="Q358">
        <v>1.2672600000000001</v>
      </c>
      <c r="R358" t="s">
        <v>70</v>
      </c>
      <c r="S358" t="s">
        <v>109</v>
      </c>
      <c r="T358" t="str">
        <f>IF(OR(AK358=1,AN358=1),"reef","no")</f>
        <v>no</v>
      </c>
      <c r="U358" s="1">
        <v>3.4679763868869944E-2</v>
      </c>
      <c r="V358" s="1">
        <v>0.74020246855458238</v>
      </c>
      <c r="W358" s="1">
        <v>7.5172899341834961E-3</v>
      </c>
      <c r="X358" s="1">
        <v>4.0092211478853987E-3</v>
      </c>
      <c r="Y358" s="1">
        <v>0</v>
      </c>
      <c r="Z358" s="1">
        <v>4.2096823831888636E-3</v>
      </c>
      <c r="AA358" s="1">
        <v>0.19404630315673121</v>
      </c>
      <c r="AB358" s="1">
        <v>1.5335270954558616E-2</v>
      </c>
      <c r="AC358">
        <v>1</v>
      </c>
      <c r="AD358">
        <v>0</v>
      </c>
      <c r="AE358">
        <v>0</v>
      </c>
      <c r="AF358">
        <v>0</v>
      </c>
      <c r="AG358">
        <v>1</v>
      </c>
      <c r="AH358">
        <v>0</v>
      </c>
      <c r="AI358">
        <v>0</v>
      </c>
      <c r="AJ358">
        <v>0</v>
      </c>
      <c r="AK358">
        <v>0</v>
      </c>
      <c r="AL358">
        <v>0</v>
      </c>
      <c r="AM358">
        <v>0</v>
      </c>
      <c r="AN358">
        <v>0</v>
      </c>
      <c r="AO358">
        <v>0</v>
      </c>
      <c r="AP358">
        <v>0</v>
      </c>
      <c r="AQ358">
        <v>0</v>
      </c>
      <c r="AR358">
        <v>18</v>
      </c>
      <c r="AS358" t="s">
        <v>2587</v>
      </c>
    </row>
    <row r="359" spans="1:45" x14ac:dyDescent="0.25">
      <c r="A359">
        <v>53</v>
      </c>
      <c r="B359" t="str">
        <f>VLOOKUP(A359,'model groups'!$A$3:$C$86,2,FALSE)</f>
        <v>offshore demersal carnivores</v>
      </c>
      <c r="C359" t="s">
        <v>1100</v>
      </c>
      <c r="D359" t="s">
        <v>1101</v>
      </c>
      <c r="E359" t="s">
        <v>1101</v>
      </c>
      <c r="G359" t="s">
        <v>195</v>
      </c>
      <c r="H359" t="s">
        <v>470</v>
      </c>
      <c r="I359" t="s">
        <v>471</v>
      </c>
      <c r="J359" t="s">
        <v>1102</v>
      </c>
      <c r="K359" t="s">
        <v>1103</v>
      </c>
      <c r="L359">
        <v>1.040032415</v>
      </c>
      <c r="N359">
        <v>26.285289379999998</v>
      </c>
      <c r="P359">
        <v>27.8</v>
      </c>
      <c r="Q359">
        <v>1.4664600000000001</v>
      </c>
      <c r="R359" t="s">
        <v>70</v>
      </c>
      <c r="S359" t="s">
        <v>109</v>
      </c>
      <c r="T359" t="str">
        <f>IF(OR(AK359=1,AN359=1),"reef","no")</f>
        <v>no</v>
      </c>
      <c r="U359" s="1"/>
      <c r="V359" s="1"/>
      <c r="W359" s="1"/>
      <c r="X359" s="1"/>
      <c r="Y359" s="1"/>
      <c r="Z359" s="1"/>
      <c r="AA359" s="1"/>
      <c r="AB359" s="1"/>
      <c r="AG359">
        <v>1</v>
      </c>
      <c r="AH359">
        <v>0</v>
      </c>
      <c r="AI359">
        <v>0</v>
      </c>
      <c r="AJ359">
        <v>0</v>
      </c>
      <c r="AK359">
        <v>0</v>
      </c>
      <c r="AL359">
        <v>0</v>
      </c>
      <c r="AM359">
        <v>0</v>
      </c>
      <c r="AN359">
        <v>0</v>
      </c>
      <c r="AO359">
        <v>0</v>
      </c>
      <c r="AP359">
        <v>0</v>
      </c>
      <c r="AQ359">
        <v>0</v>
      </c>
      <c r="AR359">
        <v>18</v>
      </c>
      <c r="AS359" t="s">
        <v>2587</v>
      </c>
    </row>
    <row r="360" spans="1:45" x14ac:dyDescent="0.25">
      <c r="A360">
        <v>53</v>
      </c>
      <c r="B360" t="str">
        <f>VLOOKUP(A360,'model groups'!$A$3:$C$86,2,FALSE)</f>
        <v>offshore demersal carnivores</v>
      </c>
      <c r="D360" t="s">
        <v>1104</v>
      </c>
      <c r="E360" t="s">
        <v>1104</v>
      </c>
      <c r="G360" t="s">
        <v>241</v>
      </c>
      <c r="H360" t="s">
        <v>994</v>
      </c>
      <c r="I360" t="s">
        <v>1105</v>
      </c>
      <c r="J360" t="s">
        <v>996</v>
      </c>
      <c r="K360" t="s">
        <v>1106</v>
      </c>
      <c r="AR360">
        <v>18</v>
      </c>
      <c r="AS360" t="s">
        <v>2587</v>
      </c>
    </row>
    <row r="361" spans="1:45" x14ac:dyDescent="0.25">
      <c r="A361">
        <v>53</v>
      </c>
      <c r="B361" t="str">
        <f>VLOOKUP(A361,'model groups'!$A$3:$C$86,2,FALSE)</f>
        <v>offshore demersal carnivores</v>
      </c>
      <c r="C361" t="s">
        <v>1107</v>
      </c>
      <c r="D361" t="s">
        <v>1108</v>
      </c>
      <c r="E361" t="s">
        <v>1108</v>
      </c>
      <c r="G361" t="s">
        <v>195</v>
      </c>
      <c r="H361" t="s">
        <v>413</v>
      </c>
      <c r="I361" t="s">
        <v>408</v>
      </c>
      <c r="J361" t="s">
        <v>480</v>
      </c>
      <c r="K361" t="s">
        <v>1109</v>
      </c>
      <c r="L361">
        <v>1.1981004040000001</v>
      </c>
      <c r="M361">
        <v>7.5085367684999991</v>
      </c>
      <c r="N361">
        <v>21.10297181</v>
      </c>
      <c r="O361">
        <v>3.7744444439999998</v>
      </c>
      <c r="P361">
        <v>33.869999999999997</v>
      </c>
      <c r="Q361">
        <v>0.86352833299999998</v>
      </c>
      <c r="R361" t="s">
        <v>70</v>
      </c>
      <c r="S361" t="s">
        <v>109</v>
      </c>
      <c r="T361" t="str">
        <f>IF(OR(AK361=1,AN361=1),"reef","no")</f>
        <v>no</v>
      </c>
      <c r="U361" s="1">
        <v>4.8666666428473337E-2</v>
      </c>
      <c r="V361" s="1">
        <v>0.79496666671027427</v>
      </c>
      <c r="W361" s="1">
        <v>3.1833333373761666E-2</v>
      </c>
      <c r="X361" s="1">
        <v>0</v>
      </c>
      <c r="Y361" s="1">
        <v>0</v>
      </c>
      <c r="Z361" s="1">
        <v>0</v>
      </c>
      <c r="AA361" s="1">
        <v>5.4200000204833995E-2</v>
      </c>
      <c r="AB361" s="1">
        <v>7.033333328265666E-2</v>
      </c>
      <c r="AC361">
        <v>0</v>
      </c>
      <c r="AD361">
        <v>0</v>
      </c>
      <c r="AE361">
        <v>1</v>
      </c>
      <c r="AF361">
        <v>1</v>
      </c>
      <c r="AG361">
        <v>1</v>
      </c>
      <c r="AH361">
        <v>0</v>
      </c>
      <c r="AI361">
        <v>0</v>
      </c>
      <c r="AJ361">
        <v>0</v>
      </c>
      <c r="AK361">
        <v>0</v>
      </c>
      <c r="AL361">
        <v>0</v>
      </c>
      <c r="AM361">
        <v>0</v>
      </c>
      <c r="AN361">
        <v>0</v>
      </c>
      <c r="AO361">
        <v>0</v>
      </c>
      <c r="AP361">
        <v>0</v>
      </c>
      <c r="AQ361">
        <v>0</v>
      </c>
      <c r="AR361">
        <v>18</v>
      </c>
      <c r="AS361" t="s">
        <v>2587</v>
      </c>
    </row>
    <row r="362" spans="1:45" x14ac:dyDescent="0.25">
      <c r="A362">
        <v>53</v>
      </c>
      <c r="B362" t="str">
        <f>VLOOKUP(A362,'model groups'!$A$3:$C$86,2,FALSE)</f>
        <v>offshore demersal carnivores</v>
      </c>
      <c r="C362" t="s">
        <v>478</v>
      </c>
      <c r="D362" t="s">
        <v>1110</v>
      </c>
      <c r="E362" t="s">
        <v>1110</v>
      </c>
      <c r="G362" t="s">
        <v>241</v>
      </c>
      <c r="H362" t="s">
        <v>196</v>
      </c>
      <c r="I362" t="s">
        <v>408</v>
      </c>
      <c r="J362" t="s">
        <v>480</v>
      </c>
      <c r="AR362">
        <v>18</v>
      </c>
      <c r="AS362" t="s">
        <v>2587</v>
      </c>
    </row>
    <row r="363" spans="1:45" x14ac:dyDescent="0.25">
      <c r="A363">
        <v>53</v>
      </c>
      <c r="B363" t="str">
        <f>VLOOKUP(A363,'model groups'!$A$3:$C$86,2,FALSE)</f>
        <v>offshore demersal carnivores</v>
      </c>
      <c r="C363" t="s">
        <v>1111</v>
      </c>
      <c r="D363" t="s">
        <v>1112</v>
      </c>
      <c r="E363" t="s">
        <v>1112</v>
      </c>
      <c r="G363" t="s">
        <v>241</v>
      </c>
      <c r="H363" t="s">
        <v>196</v>
      </c>
      <c r="I363" t="s">
        <v>408</v>
      </c>
      <c r="J363" t="s">
        <v>480</v>
      </c>
      <c r="AR363">
        <v>18</v>
      </c>
      <c r="AS363" t="s">
        <v>2587</v>
      </c>
    </row>
    <row r="364" spans="1:45" x14ac:dyDescent="0.25">
      <c r="A364">
        <v>53</v>
      </c>
      <c r="B364" t="str">
        <f>VLOOKUP(A364,'model groups'!$A$3:$C$86,2,FALSE)</f>
        <v>offshore demersal carnivores</v>
      </c>
      <c r="C364" t="s">
        <v>1113</v>
      </c>
      <c r="D364" t="s">
        <v>1114</v>
      </c>
      <c r="E364" t="s">
        <v>1115</v>
      </c>
      <c r="G364" t="s">
        <v>195</v>
      </c>
      <c r="H364" t="s">
        <v>196</v>
      </c>
      <c r="I364" t="s">
        <v>337</v>
      </c>
      <c r="J364" t="s">
        <v>442</v>
      </c>
      <c r="K364" t="s">
        <v>1116</v>
      </c>
      <c r="L364">
        <v>0.92649175900000003</v>
      </c>
      <c r="M364">
        <v>6.6707734060000003</v>
      </c>
      <c r="N364">
        <v>31.451041149999998</v>
      </c>
      <c r="O364">
        <v>3.52</v>
      </c>
      <c r="P364">
        <v>32.04</v>
      </c>
      <c r="Q364">
        <v>1.11816</v>
      </c>
      <c r="R364" t="s">
        <v>70</v>
      </c>
      <c r="S364" t="s">
        <v>109</v>
      </c>
      <c r="T364" t="str">
        <f>IF(OR(AK364=1,AN364=1),"reef","no")</f>
        <v>no</v>
      </c>
      <c r="U364" s="1">
        <v>0.24966666574204333</v>
      </c>
      <c r="V364" s="1">
        <v>0.56299999927130995</v>
      </c>
      <c r="W364" s="1">
        <v>3.3000000265210001E-2</v>
      </c>
      <c r="X364" s="1">
        <v>0</v>
      </c>
      <c r="Y364" s="1">
        <v>7.6666663705033328E-3</v>
      </c>
      <c r="Z364" s="1">
        <v>0</v>
      </c>
      <c r="AA364" s="1">
        <v>8.033333501005667E-2</v>
      </c>
      <c r="AB364" s="1">
        <v>6.6333333340876668E-2</v>
      </c>
      <c r="AC364">
        <v>1</v>
      </c>
      <c r="AD364">
        <v>1</v>
      </c>
      <c r="AE364">
        <v>0</v>
      </c>
      <c r="AF364">
        <v>0</v>
      </c>
      <c r="AG364">
        <v>1</v>
      </c>
      <c r="AH364">
        <v>0</v>
      </c>
      <c r="AI364">
        <v>0</v>
      </c>
      <c r="AJ364">
        <v>0</v>
      </c>
      <c r="AK364">
        <v>0</v>
      </c>
      <c r="AL364">
        <v>0</v>
      </c>
      <c r="AM364">
        <v>0</v>
      </c>
      <c r="AN364">
        <v>0</v>
      </c>
      <c r="AO364">
        <v>0</v>
      </c>
      <c r="AP364">
        <v>0</v>
      </c>
      <c r="AQ364">
        <v>0</v>
      </c>
      <c r="AR364">
        <v>18</v>
      </c>
      <c r="AS364" t="s">
        <v>2587</v>
      </c>
    </row>
    <row r="365" spans="1:45" x14ac:dyDescent="0.25">
      <c r="A365">
        <v>53</v>
      </c>
      <c r="B365" t="str">
        <f>VLOOKUP(A365,'model groups'!$A$3:$C$86,2,FALSE)</f>
        <v>offshore demersal carnivores</v>
      </c>
      <c r="C365" t="s">
        <v>1113</v>
      </c>
      <c r="D365" t="s">
        <v>1114</v>
      </c>
      <c r="E365" t="s">
        <v>1114</v>
      </c>
      <c r="G365" t="s">
        <v>195</v>
      </c>
      <c r="H365" t="s">
        <v>196</v>
      </c>
      <c r="I365" t="s">
        <v>337</v>
      </c>
      <c r="J365" t="s">
        <v>442</v>
      </c>
      <c r="K365" t="s">
        <v>1116</v>
      </c>
      <c r="L365">
        <v>0.92649175900000003</v>
      </c>
      <c r="M365">
        <v>6.6707734060000003</v>
      </c>
      <c r="N365">
        <v>31.451041149999998</v>
      </c>
      <c r="O365">
        <v>3.52</v>
      </c>
      <c r="P365">
        <v>32.04</v>
      </c>
      <c r="Q365">
        <v>1.11816</v>
      </c>
      <c r="R365" t="s">
        <v>70</v>
      </c>
      <c r="S365" t="s">
        <v>109</v>
      </c>
      <c r="T365" t="str">
        <f>IF(OR(AK365=1,AN365=1),"reef","no")</f>
        <v>reef</v>
      </c>
      <c r="U365" s="1">
        <v>0.24966666574204333</v>
      </c>
      <c r="V365" s="1">
        <v>0.56299999927130995</v>
      </c>
      <c r="W365" s="1">
        <v>3.3000000265210001E-2</v>
      </c>
      <c r="X365" s="1">
        <v>0</v>
      </c>
      <c r="Y365" s="1">
        <v>7.6666663705033328E-3</v>
      </c>
      <c r="Z365" s="1">
        <v>0</v>
      </c>
      <c r="AA365" s="1">
        <v>8.033333501005667E-2</v>
      </c>
      <c r="AB365" s="1">
        <v>6.6333333340876668E-2</v>
      </c>
      <c r="AC365">
        <v>1</v>
      </c>
      <c r="AD365">
        <v>1</v>
      </c>
      <c r="AE365">
        <v>0</v>
      </c>
      <c r="AF365">
        <v>0</v>
      </c>
      <c r="AG365">
        <v>0</v>
      </c>
      <c r="AH365">
        <v>0</v>
      </c>
      <c r="AI365">
        <v>0</v>
      </c>
      <c r="AJ365">
        <v>0</v>
      </c>
      <c r="AK365">
        <v>1</v>
      </c>
      <c r="AL365">
        <v>0</v>
      </c>
      <c r="AM365">
        <v>0</v>
      </c>
      <c r="AN365">
        <v>1</v>
      </c>
      <c r="AO365">
        <v>0</v>
      </c>
      <c r="AP365">
        <v>1</v>
      </c>
      <c r="AQ365">
        <v>1</v>
      </c>
      <c r="AR365">
        <v>18</v>
      </c>
      <c r="AS365" t="s">
        <v>2587</v>
      </c>
    </row>
    <row r="366" spans="1:45" x14ac:dyDescent="0.25">
      <c r="A366">
        <v>53</v>
      </c>
      <c r="B366" t="str">
        <f>VLOOKUP(A366,'model groups'!$A$3:$C$86,2,FALSE)</f>
        <v>offshore demersal carnivores</v>
      </c>
      <c r="C366" t="s">
        <v>1117</v>
      </c>
      <c r="D366" t="s">
        <v>1118</v>
      </c>
      <c r="E366" t="s">
        <v>1118</v>
      </c>
      <c r="G366" t="s">
        <v>195</v>
      </c>
      <c r="H366" t="s">
        <v>196</v>
      </c>
      <c r="I366" t="s">
        <v>428</v>
      </c>
      <c r="J366" t="s">
        <v>497</v>
      </c>
      <c r="K366" t="s">
        <v>1119</v>
      </c>
      <c r="L366">
        <v>1.040032415</v>
      </c>
      <c r="M366">
        <v>8.7319413115</v>
      </c>
      <c r="N366">
        <v>26.285289379999998</v>
      </c>
      <c r="O366">
        <v>3.5</v>
      </c>
      <c r="P366">
        <v>32.799999999999997</v>
      </c>
      <c r="Q366">
        <v>1.9221999999999999</v>
      </c>
      <c r="R366" t="s">
        <v>70</v>
      </c>
      <c r="S366" t="s">
        <v>109</v>
      </c>
      <c r="T366" t="str">
        <f>IF(OR(AK366=1,AN366=1),"reef","no")</f>
        <v>no</v>
      </c>
      <c r="U366" s="1">
        <v>0.14099823482846208</v>
      </c>
      <c r="V366" s="1">
        <v>0.28584642811623512</v>
      </c>
      <c r="W366" s="1">
        <v>6.1499232000688233E-3</v>
      </c>
      <c r="X366" s="1">
        <v>0</v>
      </c>
      <c r="Y366" s="1">
        <v>0</v>
      </c>
      <c r="Z366" s="1">
        <v>1.0999862695406887E-2</v>
      </c>
      <c r="AA366" s="1">
        <v>0.55600555115982719</v>
      </c>
      <c r="AB366" s="1">
        <v>0</v>
      </c>
      <c r="AC366">
        <v>0</v>
      </c>
      <c r="AD366">
        <v>0</v>
      </c>
      <c r="AE366">
        <v>0</v>
      </c>
      <c r="AF366">
        <v>0</v>
      </c>
      <c r="AG366">
        <v>1</v>
      </c>
      <c r="AH366">
        <v>0</v>
      </c>
      <c r="AI366">
        <v>0</v>
      </c>
      <c r="AJ366">
        <v>0</v>
      </c>
      <c r="AK366">
        <v>0</v>
      </c>
      <c r="AL366">
        <v>0</v>
      </c>
      <c r="AM366">
        <v>1</v>
      </c>
      <c r="AN366">
        <v>0</v>
      </c>
      <c r="AO366">
        <v>0</v>
      </c>
      <c r="AP366">
        <v>0</v>
      </c>
      <c r="AQ366">
        <v>1</v>
      </c>
      <c r="AR366">
        <v>18</v>
      </c>
      <c r="AS366" t="s">
        <v>2587</v>
      </c>
    </row>
    <row r="367" spans="1:45" x14ac:dyDescent="0.25">
      <c r="A367">
        <v>53</v>
      </c>
      <c r="B367" t="str">
        <f>VLOOKUP(A367,'model groups'!$A$3:$C$86,2,FALSE)</f>
        <v>offshore demersal carnivores</v>
      </c>
      <c r="C367" t="s">
        <v>1120</v>
      </c>
      <c r="D367" t="s">
        <v>1121</v>
      </c>
      <c r="E367" t="s">
        <v>1121</v>
      </c>
      <c r="G367" t="s">
        <v>195</v>
      </c>
      <c r="H367" t="s">
        <v>196</v>
      </c>
      <c r="I367" t="s">
        <v>428</v>
      </c>
      <c r="J367" t="s">
        <v>1122</v>
      </c>
      <c r="K367" t="s">
        <v>1123</v>
      </c>
      <c r="L367">
        <v>1.6316981290000001</v>
      </c>
      <c r="M367">
        <v>12.039309360000001</v>
      </c>
      <c r="N367">
        <v>31.451041149999998</v>
      </c>
      <c r="O367">
        <v>3.2450000000000001</v>
      </c>
      <c r="P367">
        <v>20.52</v>
      </c>
      <c r="Q367">
        <v>2.1459299999999999</v>
      </c>
      <c r="R367" t="s">
        <v>70</v>
      </c>
      <c r="S367" t="s">
        <v>109</v>
      </c>
      <c r="T367" t="str">
        <f>IF(OR(AK367=1,AN367=1),"reef","no")</f>
        <v>no</v>
      </c>
      <c r="U367" s="1">
        <v>2.1586023074781035E-2</v>
      </c>
      <c r="V367" s="1">
        <v>0.20063143979275219</v>
      </c>
      <c r="W367" s="1">
        <v>0.32660466364489837</v>
      </c>
      <c r="X367" s="1">
        <v>0</v>
      </c>
      <c r="Y367" s="1">
        <v>0</v>
      </c>
      <c r="Z367" s="1">
        <v>1.0000142725439881E-3</v>
      </c>
      <c r="AA367" s="1">
        <v>0.4424634632082538</v>
      </c>
      <c r="AB367" s="1">
        <v>7.7143960067706232E-3</v>
      </c>
      <c r="AC367">
        <v>0</v>
      </c>
      <c r="AD367">
        <v>0</v>
      </c>
      <c r="AE367">
        <v>0</v>
      </c>
      <c r="AF367">
        <v>0</v>
      </c>
      <c r="AG367">
        <v>1</v>
      </c>
      <c r="AH367">
        <v>0</v>
      </c>
      <c r="AI367">
        <v>0</v>
      </c>
      <c r="AJ367">
        <v>0</v>
      </c>
      <c r="AK367">
        <v>0</v>
      </c>
      <c r="AL367">
        <v>0</v>
      </c>
      <c r="AM367">
        <v>0</v>
      </c>
      <c r="AN367">
        <v>0</v>
      </c>
      <c r="AO367">
        <v>0</v>
      </c>
      <c r="AP367">
        <v>0</v>
      </c>
      <c r="AQ367">
        <v>0</v>
      </c>
      <c r="AR367">
        <v>18</v>
      </c>
      <c r="AS367" t="s">
        <v>2587</v>
      </c>
    </row>
    <row r="368" spans="1:45" x14ac:dyDescent="0.25">
      <c r="A368">
        <v>53</v>
      </c>
      <c r="B368" t="str">
        <f>VLOOKUP(A368,'model groups'!$A$3:$C$86,2,FALSE)</f>
        <v>offshore demersal carnivores</v>
      </c>
      <c r="C368" t="s">
        <v>1124</v>
      </c>
      <c r="D368" t="s">
        <v>1125</v>
      </c>
      <c r="E368" t="s">
        <v>1125</v>
      </c>
      <c r="G368" t="s">
        <v>195</v>
      </c>
      <c r="H368" t="s">
        <v>1126</v>
      </c>
      <c r="I368" t="s">
        <v>1127</v>
      </c>
      <c r="J368" t="s">
        <v>1128</v>
      </c>
      <c r="K368" t="s">
        <v>1129</v>
      </c>
      <c r="L368">
        <v>4.5</v>
      </c>
      <c r="N368">
        <v>20.064180159999999</v>
      </c>
      <c r="O368">
        <v>3.46</v>
      </c>
      <c r="P368">
        <v>31.2</v>
      </c>
      <c r="R368" t="s">
        <v>70</v>
      </c>
      <c r="S368" t="s">
        <v>77</v>
      </c>
      <c r="T368" t="str">
        <f>IF(OR(AK368=1,AN368=1),"reef","no")</f>
        <v>no</v>
      </c>
      <c r="U368" s="1"/>
      <c r="V368" s="1"/>
      <c r="W368" s="1"/>
      <c r="X368" s="1"/>
      <c r="Y368" s="1"/>
      <c r="Z368" s="1"/>
      <c r="AA368" s="1"/>
      <c r="AB368" s="1"/>
      <c r="AC368">
        <v>1</v>
      </c>
      <c r="AD368">
        <v>0</v>
      </c>
      <c r="AE368">
        <v>1</v>
      </c>
      <c r="AF368">
        <v>0</v>
      </c>
      <c r="AG368">
        <v>1</v>
      </c>
      <c r="AH368">
        <v>0</v>
      </c>
      <c r="AI368">
        <v>0</v>
      </c>
      <c r="AJ368">
        <v>0</v>
      </c>
      <c r="AK368">
        <v>0</v>
      </c>
      <c r="AL368">
        <v>0</v>
      </c>
      <c r="AM368">
        <v>1</v>
      </c>
      <c r="AN368">
        <v>0</v>
      </c>
      <c r="AO368">
        <v>0</v>
      </c>
      <c r="AP368">
        <v>0</v>
      </c>
      <c r="AQ368">
        <v>0</v>
      </c>
      <c r="AR368">
        <v>18</v>
      </c>
      <c r="AS368" t="s">
        <v>2587</v>
      </c>
    </row>
    <row r="369" spans="1:45" x14ac:dyDescent="0.25">
      <c r="A369">
        <v>53</v>
      </c>
      <c r="B369" t="str">
        <f>VLOOKUP(A369,'model groups'!$A$3:$C$86,2,FALSE)</f>
        <v>offshore demersal carnivores</v>
      </c>
      <c r="C369" t="s">
        <v>1130</v>
      </c>
      <c r="D369" t="s">
        <v>1131</v>
      </c>
      <c r="E369" t="s">
        <v>1131</v>
      </c>
      <c r="G369" t="s">
        <v>241</v>
      </c>
      <c r="H369" t="s">
        <v>466</v>
      </c>
      <c r="I369" t="s">
        <v>1127</v>
      </c>
      <c r="J369" t="s">
        <v>1128</v>
      </c>
      <c r="AR369">
        <v>18</v>
      </c>
      <c r="AS369" t="s">
        <v>2587</v>
      </c>
    </row>
    <row r="370" spans="1:45" x14ac:dyDescent="0.25">
      <c r="A370">
        <v>53</v>
      </c>
      <c r="B370" t="str">
        <f>VLOOKUP(A370,'model groups'!$A$3:$C$86,2,FALSE)</f>
        <v>offshore demersal carnivores</v>
      </c>
      <c r="C370" t="s">
        <v>1132</v>
      </c>
      <c r="D370" t="s">
        <v>1133</v>
      </c>
      <c r="E370" t="s">
        <v>1133</v>
      </c>
      <c r="G370" t="s">
        <v>195</v>
      </c>
      <c r="H370" t="s">
        <v>1126</v>
      </c>
      <c r="I370" t="s">
        <v>1127</v>
      </c>
      <c r="J370" t="s">
        <v>1134</v>
      </c>
      <c r="K370" t="s">
        <v>1135</v>
      </c>
      <c r="L370">
        <v>1.0144877109999999</v>
      </c>
      <c r="N370">
        <v>27.319658839999999</v>
      </c>
      <c r="O370">
        <v>3.395</v>
      </c>
      <c r="P370">
        <v>21</v>
      </c>
      <c r="R370" t="s">
        <v>70</v>
      </c>
      <c r="S370" t="s">
        <v>109</v>
      </c>
      <c r="T370" t="str">
        <f>IF(OR(AK370=1,AN370=1),"reef","no")</f>
        <v>no</v>
      </c>
      <c r="U370" s="1">
        <v>3.4877876833000185E-2</v>
      </c>
      <c r="V370" s="1">
        <v>0.8184742211708812</v>
      </c>
      <c r="W370" s="1">
        <v>0</v>
      </c>
      <c r="X370" s="1">
        <v>0</v>
      </c>
      <c r="Y370" s="1">
        <v>0</v>
      </c>
      <c r="Z370" s="1">
        <v>0</v>
      </c>
      <c r="AA370" s="1">
        <v>6.1312695039232199E-3</v>
      </c>
      <c r="AB370" s="1">
        <v>0.14051663249219531</v>
      </c>
      <c r="AC370">
        <v>0</v>
      </c>
      <c r="AD370">
        <v>0</v>
      </c>
      <c r="AE370">
        <v>0</v>
      </c>
      <c r="AF370">
        <v>0</v>
      </c>
      <c r="AG370">
        <v>0</v>
      </c>
      <c r="AH370">
        <v>0</v>
      </c>
      <c r="AI370">
        <v>0</v>
      </c>
      <c r="AJ370">
        <v>0</v>
      </c>
      <c r="AK370">
        <v>0</v>
      </c>
      <c r="AL370">
        <v>1</v>
      </c>
      <c r="AM370">
        <v>0</v>
      </c>
      <c r="AN370">
        <v>0</v>
      </c>
      <c r="AO370">
        <v>0</v>
      </c>
      <c r="AP370">
        <v>0</v>
      </c>
      <c r="AQ370">
        <v>0</v>
      </c>
      <c r="AR370">
        <v>18</v>
      </c>
      <c r="AS370" t="s">
        <v>2587</v>
      </c>
    </row>
    <row r="371" spans="1:45" x14ac:dyDescent="0.25">
      <c r="A371">
        <v>53</v>
      </c>
      <c r="B371" t="str">
        <f>VLOOKUP(A371,'model groups'!$A$3:$C$86,2,FALSE)</f>
        <v>offshore demersal carnivores</v>
      </c>
      <c r="C371" t="s">
        <v>1136</v>
      </c>
      <c r="D371" t="s">
        <v>1137</v>
      </c>
      <c r="E371" t="s">
        <v>1137</v>
      </c>
      <c r="G371" t="s">
        <v>195</v>
      </c>
      <c r="H371" t="s">
        <v>1138</v>
      </c>
      <c r="I371" t="s">
        <v>1139</v>
      </c>
      <c r="J371" t="s">
        <v>1140</v>
      </c>
      <c r="K371" t="s">
        <v>1141</v>
      </c>
      <c r="L371">
        <v>1.040032415</v>
      </c>
      <c r="M371">
        <v>10.982359365000001</v>
      </c>
      <c r="N371">
        <v>26.285289379999998</v>
      </c>
      <c r="O371">
        <v>4.2</v>
      </c>
      <c r="P371">
        <v>18.940000000000001</v>
      </c>
      <c r="Q371">
        <v>1.58273</v>
      </c>
      <c r="R371" t="s">
        <v>70</v>
      </c>
      <c r="S371" t="s">
        <v>109</v>
      </c>
      <c r="T371" t="str">
        <f>IF(OR(AK371=1,AN371=1),"reef","no")</f>
        <v>no</v>
      </c>
      <c r="U371" s="1">
        <v>0.90649999878357002</v>
      </c>
      <c r="V371" s="1">
        <v>8.9300001422953967E-2</v>
      </c>
      <c r="W371" s="1">
        <v>4.1999997934760039E-3</v>
      </c>
      <c r="X371" s="1">
        <v>0</v>
      </c>
      <c r="Y371" s="1">
        <v>0</v>
      </c>
      <c r="Z371" s="1">
        <v>0</v>
      </c>
      <c r="AA371" s="1">
        <v>0</v>
      </c>
      <c r="AB371" s="1">
        <v>0</v>
      </c>
      <c r="AC371">
        <v>0</v>
      </c>
      <c r="AD371">
        <v>0</v>
      </c>
      <c r="AE371">
        <v>0</v>
      </c>
      <c r="AF371">
        <v>0</v>
      </c>
      <c r="AG371">
        <v>1</v>
      </c>
      <c r="AH371">
        <v>0</v>
      </c>
      <c r="AI371">
        <v>0</v>
      </c>
      <c r="AJ371">
        <v>0</v>
      </c>
      <c r="AK371">
        <v>0</v>
      </c>
      <c r="AL371">
        <v>0</v>
      </c>
      <c r="AM371">
        <v>0</v>
      </c>
      <c r="AN371">
        <v>0</v>
      </c>
      <c r="AO371">
        <v>0</v>
      </c>
      <c r="AP371">
        <v>0</v>
      </c>
      <c r="AQ371">
        <v>0</v>
      </c>
      <c r="AR371">
        <v>18</v>
      </c>
      <c r="AS371" t="s">
        <v>2587</v>
      </c>
    </row>
    <row r="372" spans="1:45" x14ac:dyDescent="0.25">
      <c r="A372">
        <v>53</v>
      </c>
      <c r="B372" t="str">
        <f>VLOOKUP(A372,'model groups'!$A$3:$C$86,2,FALSE)</f>
        <v>offshore demersal carnivores</v>
      </c>
      <c r="C372" t="s">
        <v>1142</v>
      </c>
      <c r="D372" t="s">
        <v>1143</v>
      </c>
      <c r="E372" t="s">
        <v>1143</v>
      </c>
      <c r="G372" t="s">
        <v>195</v>
      </c>
      <c r="H372" t="s">
        <v>1138</v>
      </c>
      <c r="I372" t="s">
        <v>1139</v>
      </c>
      <c r="J372" t="s">
        <v>1140</v>
      </c>
      <c r="K372" t="s">
        <v>1144</v>
      </c>
      <c r="L372">
        <v>0.71645663100000001</v>
      </c>
      <c r="M372">
        <v>8.5032947270000001</v>
      </c>
      <c r="N372">
        <v>46.873397650000001</v>
      </c>
      <c r="O372">
        <v>4.3099999999999996</v>
      </c>
      <c r="P372">
        <v>29.01</v>
      </c>
      <c r="Q372">
        <v>2.5407600000000001</v>
      </c>
      <c r="R372" t="s">
        <v>70</v>
      </c>
      <c r="S372" t="s">
        <v>77</v>
      </c>
      <c r="T372" t="str">
        <f>IF(OR(AK372=1,AN372=1),"reef","no")</f>
        <v>no</v>
      </c>
      <c r="U372" s="1">
        <v>0.90649999878357002</v>
      </c>
      <c r="V372" s="1">
        <v>8.9300001422953967E-2</v>
      </c>
      <c r="W372" s="1">
        <v>4.1999997934760039E-3</v>
      </c>
      <c r="X372" s="1">
        <v>0</v>
      </c>
      <c r="Y372" s="1">
        <v>0</v>
      </c>
      <c r="Z372" s="1">
        <v>0</v>
      </c>
      <c r="AA372" s="1">
        <v>0</v>
      </c>
      <c r="AB372" s="1">
        <v>0</v>
      </c>
      <c r="AC372">
        <v>0</v>
      </c>
      <c r="AD372">
        <v>0</v>
      </c>
      <c r="AE372">
        <v>0</v>
      </c>
      <c r="AF372">
        <v>0</v>
      </c>
      <c r="AG372">
        <v>1</v>
      </c>
      <c r="AH372">
        <v>0</v>
      </c>
      <c r="AI372">
        <v>0</v>
      </c>
      <c r="AJ372">
        <v>0</v>
      </c>
      <c r="AK372">
        <v>0</v>
      </c>
      <c r="AL372">
        <v>0</v>
      </c>
      <c r="AM372">
        <v>0</v>
      </c>
      <c r="AN372">
        <v>0</v>
      </c>
      <c r="AO372">
        <v>0</v>
      </c>
      <c r="AP372">
        <v>0</v>
      </c>
      <c r="AQ372">
        <v>0</v>
      </c>
      <c r="AR372">
        <v>18</v>
      </c>
      <c r="AS372" t="s">
        <v>2587</v>
      </c>
    </row>
    <row r="373" spans="1:45" x14ac:dyDescent="0.25">
      <c r="A373">
        <v>53</v>
      </c>
      <c r="B373" t="str">
        <f>VLOOKUP(A373,'model groups'!$A$3:$C$86,2,FALSE)</f>
        <v>offshore demersal carnivores</v>
      </c>
      <c r="C373" t="s">
        <v>1145</v>
      </c>
      <c r="D373" t="s">
        <v>1146</v>
      </c>
      <c r="E373" t="s">
        <v>1146</v>
      </c>
      <c r="G373" t="s">
        <v>241</v>
      </c>
      <c r="H373" t="s">
        <v>1138</v>
      </c>
      <c r="I373" t="s">
        <v>1139</v>
      </c>
      <c r="J373" t="s">
        <v>1140</v>
      </c>
      <c r="K373" t="s">
        <v>2549</v>
      </c>
      <c r="AR373">
        <v>18</v>
      </c>
      <c r="AS373" t="s">
        <v>2587</v>
      </c>
    </row>
    <row r="374" spans="1:45" x14ac:dyDescent="0.25">
      <c r="A374">
        <v>53</v>
      </c>
      <c r="B374" t="str">
        <f>VLOOKUP(A374,'model groups'!$A$3:$C$86,2,FALSE)</f>
        <v>offshore demersal carnivores</v>
      </c>
      <c r="C374" t="s">
        <v>1147</v>
      </c>
      <c r="D374" t="s">
        <v>1148</v>
      </c>
      <c r="E374" t="s">
        <v>1148</v>
      </c>
      <c r="G374" t="s">
        <v>195</v>
      </c>
      <c r="H374" t="s">
        <v>1138</v>
      </c>
      <c r="I374" t="s">
        <v>1139</v>
      </c>
      <c r="J374" t="s">
        <v>1149</v>
      </c>
      <c r="K374" t="s">
        <v>1150</v>
      </c>
      <c r="L374">
        <v>0.70654144799999996</v>
      </c>
      <c r="M374">
        <v>6.6476695499999998</v>
      </c>
      <c r="N374">
        <v>47.898287029999999</v>
      </c>
      <c r="O374">
        <v>4.3133333330000001</v>
      </c>
      <c r="P374">
        <v>29.66</v>
      </c>
      <c r="Q374">
        <v>1.5607899999999999</v>
      </c>
      <c r="R374" t="s">
        <v>70</v>
      </c>
      <c r="S374" t="s">
        <v>77</v>
      </c>
      <c r="T374" t="str">
        <f>IF(OR(AK374=1,AN374=1),"reef","no")</f>
        <v>no</v>
      </c>
      <c r="U374" s="1">
        <v>0.94499999999999995</v>
      </c>
      <c r="V374" s="1">
        <v>5.0000000000000001E-3</v>
      </c>
      <c r="W374" s="1">
        <v>0</v>
      </c>
      <c r="X374" s="1">
        <v>0</v>
      </c>
      <c r="Y374" s="1">
        <v>0.05</v>
      </c>
      <c r="Z374" s="1">
        <v>0</v>
      </c>
      <c r="AA374" s="1">
        <v>0</v>
      </c>
      <c r="AB374" s="1">
        <v>0</v>
      </c>
      <c r="AC374">
        <v>1</v>
      </c>
      <c r="AD374">
        <v>1</v>
      </c>
      <c r="AE374">
        <v>0</v>
      </c>
      <c r="AF374">
        <v>1</v>
      </c>
      <c r="AG374">
        <v>1</v>
      </c>
      <c r="AH374">
        <v>0</v>
      </c>
      <c r="AI374">
        <v>0</v>
      </c>
      <c r="AJ374">
        <v>0</v>
      </c>
      <c r="AK374">
        <v>0</v>
      </c>
      <c r="AL374">
        <v>0</v>
      </c>
      <c r="AM374">
        <v>1</v>
      </c>
      <c r="AN374">
        <v>0</v>
      </c>
      <c r="AO374">
        <v>0</v>
      </c>
      <c r="AP374">
        <v>0</v>
      </c>
      <c r="AQ374">
        <v>0</v>
      </c>
      <c r="AR374">
        <v>18</v>
      </c>
      <c r="AS374" t="s">
        <v>2587</v>
      </c>
    </row>
    <row r="375" spans="1:45" x14ac:dyDescent="0.25">
      <c r="A375">
        <v>53</v>
      </c>
      <c r="B375" t="str">
        <f>VLOOKUP(A375,'model groups'!$A$3:$C$86,2,FALSE)</f>
        <v>offshore demersal carnivores</v>
      </c>
      <c r="C375" t="s">
        <v>1151</v>
      </c>
      <c r="D375" t="s">
        <v>1152</v>
      </c>
      <c r="E375" t="s">
        <v>1152</v>
      </c>
      <c r="G375" t="s">
        <v>195</v>
      </c>
      <c r="H375" t="s">
        <v>1138</v>
      </c>
      <c r="I375" t="s">
        <v>1139</v>
      </c>
      <c r="J375" t="s">
        <v>1149</v>
      </c>
      <c r="K375" t="s">
        <v>1153</v>
      </c>
      <c r="L375">
        <v>1.040032415</v>
      </c>
      <c r="M375">
        <v>8.5114289684999989</v>
      </c>
      <c r="N375">
        <v>26.285289379999998</v>
      </c>
      <c r="O375">
        <v>4.5350000000000001</v>
      </c>
      <c r="P375">
        <v>18.940000000000001</v>
      </c>
      <c r="Q375">
        <v>1.35076</v>
      </c>
      <c r="R375" t="s">
        <v>70</v>
      </c>
      <c r="S375" t="s">
        <v>77</v>
      </c>
      <c r="T375" t="str">
        <f>IF(OR(AK375=1,AN375=1),"reef","no")</f>
        <v>no</v>
      </c>
      <c r="U375" s="1">
        <v>2.5000000774500025E-2</v>
      </c>
      <c r="V375" s="1">
        <v>1.2999999922739999E-2</v>
      </c>
      <c r="W375" s="1">
        <v>0</v>
      </c>
      <c r="X375" s="1">
        <v>0</v>
      </c>
      <c r="Y375" s="1">
        <v>0</v>
      </c>
      <c r="Z375" s="1">
        <v>0</v>
      </c>
      <c r="AA375" s="1">
        <v>0.96199999930276003</v>
      </c>
      <c r="AB375" s="1">
        <v>0</v>
      </c>
      <c r="AC375">
        <v>0</v>
      </c>
      <c r="AD375">
        <v>0</v>
      </c>
      <c r="AE375">
        <v>0</v>
      </c>
      <c r="AF375">
        <v>0</v>
      </c>
      <c r="AG375">
        <v>1</v>
      </c>
      <c r="AH375">
        <v>0</v>
      </c>
      <c r="AI375">
        <v>0</v>
      </c>
      <c r="AJ375">
        <v>0</v>
      </c>
      <c r="AK375">
        <v>0</v>
      </c>
      <c r="AL375">
        <v>0</v>
      </c>
      <c r="AM375">
        <v>0</v>
      </c>
      <c r="AN375">
        <v>0</v>
      </c>
      <c r="AO375">
        <v>0</v>
      </c>
      <c r="AP375">
        <v>0</v>
      </c>
      <c r="AQ375">
        <v>0</v>
      </c>
      <c r="AR375">
        <v>18</v>
      </c>
      <c r="AS375" t="s">
        <v>2587</v>
      </c>
    </row>
    <row r="376" spans="1:45" x14ac:dyDescent="0.25">
      <c r="A376">
        <v>53</v>
      </c>
      <c r="B376" t="str">
        <f>VLOOKUP(A376,'model groups'!$A$3:$C$86,2,FALSE)</f>
        <v>offshore demersal carnivores</v>
      </c>
      <c r="C376" t="s">
        <v>1154</v>
      </c>
      <c r="D376" t="s">
        <v>1155</v>
      </c>
      <c r="E376" t="s">
        <v>1155</v>
      </c>
      <c r="G376" t="s">
        <v>195</v>
      </c>
      <c r="H376" t="s">
        <v>1138</v>
      </c>
      <c r="I376" t="s">
        <v>1139</v>
      </c>
      <c r="J376" t="s">
        <v>1156</v>
      </c>
      <c r="T376" t="str">
        <f>IF(OR(AK376=1,AN376=1),"reef","no")</f>
        <v>no</v>
      </c>
      <c r="U376" s="1"/>
      <c r="V376" s="1"/>
      <c r="W376" s="1"/>
      <c r="X376" s="1"/>
      <c r="Y376" s="1"/>
      <c r="Z376" s="1"/>
      <c r="AA376" s="1"/>
      <c r="AB376" s="1"/>
      <c r="AG376">
        <v>1</v>
      </c>
      <c r="AH376">
        <v>0</v>
      </c>
      <c r="AI376">
        <v>0</v>
      </c>
      <c r="AJ376">
        <v>1</v>
      </c>
      <c r="AK376">
        <v>0</v>
      </c>
      <c r="AL376">
        <v>0</v>
      </c>
      <c r="AM376">
        <v>1</v>
      </c>
      <c r="AN376">
        <v>0</v>
      </c>
      <c r="AO376">
        <v>0</v>
      </c>
      <c r="AP376">
        <v>0</v>
      </c>
      <c r="AQ376">
        <v>0</v>
      </c>
      <c r="AR376">
        <v>18</v>
      </c>
      <c r="AS376" t="s">
        <v>2587</v>
      </c>
    </row>
    <row r="377" spans="1:45" x14ac:dyDescent="0.25">
      <c r="A377">
        <v>53</v>
      </c>
      <c r="B377" t="str">
        <f>VLOOKUP(A377,'model groups'!$A$3:$C$86,2,FALSE)</f>
        <v>offshore demersal carnivores</v>
      </c>
      <c r="C377" t="s">
        <v>1154</v>
      </c>
      <c r="D377" t="s">
        <v>1157</v>
      </c>
      <c r="E377" t="s">
        <v>1157</v>
      </c>
      <c r="G377" t="s">
        <v>241</v>
      </c>
      <c r="H377" t="s">
        <v>1138</v>
      </c>
      <c r="I377" t="s">
        <v>1139</v>
      </c>
      <c r="J377" t="s">
        <v>1156</v>
      </c>
      <c r="AR377">
        <v>18</v>
      </c>
      <c r="AS377" t="s">
        <v>2587</v>
      </c>
    </row>
    <row r="378" spans="1:45" x14ac:dyDescent="0.25">
      <c r="A378">
        <v>53</v>
      </c>
      <c r="B378" t="str">
        <f>VLOOKUP(A378,'model groups'!$A$3:$C$86,2,FALSE)</f>
        <v>offshore demersal carnivores</v>
      </c>
      <c r="C378" t="s">
        <v>1158</v>
      </c>
      <c r="D378" t="s">
        <v>1159</v>
      </c>
      <c r="E378" t="s">
        <v>1159</v>
      </c>
      <c r="G378" t="s">
        <v>195</v>
      </c>
      <c r="H378" t="s">
        <v>419</v>
      </c>
      <c r="I378" t="s">
        <v>723</v>
      </c>
      <c r="J378" t="s">
        <v>728</v>
      </c>
      <c r="K378" t="s">
        <v>1160</v>
      </c>
      <c r="L378">
        <v>1.1981004040000001</v>
      </c>
      <c r="M378">
        <v>12.372350154999999</v>
      </c>
      <c r="N378">
        <v>21.10297181</v>
      </c>
      <c r="O378">
        <v>3.2005555559999999</v>
      </c>
      <c r="P378">
        <v>16.489999999999998</v>
      </c>
      <c r="Q378">
        <v>1.697195</v>
      </c>
      <c r="R378" t="s">
        <v>70</v>
      </c>
      <c r="S378" t="s">
        <v>109</v>
      </c>
      <c r="T378" t="str">
        <f>IF(OR(AK378=1,AN378=1),"reef","no")</f>
        <v>no</v>
      </c>
      <c r="U378" s="1">
        <v>5.3654167284876006E-3</v>
      </c>
      <c r="V378" s="1">
        <v>0.17330382207222561</v>
      </c>
      <c r="W378" s="1">
        <v>0.18245861772027211</v>
      </c>
      <c r="X378" s="1">
        <v>6.7683483210752238E-2</v>
      </c>
      <c r="Y378" s="1">
        <v>0</v>
      </c>
      <c r="Z378" s="1">
        <v>0</v>
      </c>
      <c r="AA378" s="1">
        <v>0.39894414290771274</v>
      </c>
      <c r="AB378" s="1">
        <v>0.17224451736054969</v>
      </c>
      <c r="AC378">
        <v>0</v>
      </c>
      <c r="AD378">
        <v>0</v>
      </c>
      <c r="AE378">
        <v>1</v>
      </c>
      <c r="AF378">
        <v>1</v>
      </c>
      <c r="AG378">
        <v>1</v>
      </c>
      <c r="AH378">
        <v>0</v>
      </c>
      <c r="AI378">
        <v>0</v>
      </c>
      <c r="AJ378">
        <v>0</v>
      </c>
      <c r="AK378">
        <v>0</v>
      </c>
      <c r="AL378">
        <v>0</v>
      </c>
      <c r="AM378">
        <v>0</v>
      </c>
      <c r="AN378">
        <v>0</v>
      </c>
      <c r="AO378">
        <v>0</v>
      </c>
      <c r="AP378">
        <v>0</v>
      </c>
      <c r="AQ378">
        <v>0</v>
      </c>
      <c r="AR378">
        <v>18</v>
      </c>
      <c r="AS378" t="s">
        <v>2587</v>
      </c>
    </row>
    <row r="379" spans="1:45" x14ac:dyDescent="0.25">
      <c r="A379">
        <v>53</v>
      </c>
      <c r="B379" t="str">
        <f>VLOOKUP(A379,'model groups'!$A$3:$C$86,2,FALSE)</f>
        <v>offshore demersal carnivores</v>
      </c>
      <c r="D379" t="s">
        <v>1161</v>
      </c>
      <c r="E379" t="s">
        <v>1161</v>
      </c>
      <c r="G379" t="s">
        <v>241</v>
      </c>
      <c r="H379" t="s">
        <v>419</v>
      </c>
      <c r="I379" t="s">
        <v>723</v>
      </c>
      <c r="J379" t="s">
        <v>728</v>
      </c>
      <c r="K379" t="s">
        <v>1162</v>
      </c>
      <c r="AR379">
        <v>18</v>
      </c>
      <c r="AS379" t="s">
        <v>2587</v>
      </c>
    </row>
    <row r="380" spans="1:45" x14ac:dyDescent="0.25">
      <c r="A380">
        <v>53</v>
      </c>
      <c r="B380" t="str">
        <f>VLOOKUP(A380,'model groups'!$A$3:$C$86,2,FALSE)</f>
        <v>offshore demersal carnivores</v>
      </c>
      <c r="C380" t="s">
        <v>1163</v>
      </c>
      <c r="D380" t="s">
        <v>1164</v>
      </c>
      <c r="E380" t="s">
        <v>1164</v>
      </c>
      <c r="G380" t="s">
        <v>241</v>
      </c>
      <c r="H380" t="s">
        <v>419</v>
      </c>
      <c r="I380" t="s">
        <v>723</v>
      </c>
      <c r="J380" t="s">
        <v>728</v>
      </c>
      <c r="AR380">
        <v>18</v>
      </c>
      <c r="AS380" t="s">
        <v>2587</v>
      </c>
    </row>
    <row r="381" spans="1:45" x14ac:dyDescent="0.25">
      <c r="A381">
        <v>53</v>
      </c>
      <c r="B381" t="str">
        <f>VLOOKUP(A381,'model groups'!$A$3:$C$86,2,FALSE)</f>
        <v>offshore demersal carnivores</v>
      </c>
      <c r="C381" t="s">
        <v>1165</v>
      </c>
      <c r="D381" t="s">
        <v>1166</v>
      </c>
      <c r="E381" t="s">
        <v>1166</v>
      </c>
      <c r="G381" t="s">
        <v>195</v>
      </c>
      <c r="H381" t="s">
        <v>413</v>
      </c>
      <c r="I381" t="s">
        <v>1167</v>
      </c>
      <c r="J381" t="s">
        <v>1168</v>
      </c>
      <c r="K381" t="s">
        <v>1169</v>
      </c>
      <c r="L381">
        <v>1.040032415</v>
      </c>
      <c r="N381">
        <v>26.285289379999998</v>
      </c>
      <c r="O381">
        <v>3.7349999999999999</v>
      </c>
      <c r="P381">
        <v>31.66</v>
      </c>
      <c r="R381" t="s">
        <v>70</v>
      </c>
      <c r="S381" t="s">
        <v>109</v>
      </c>
      <c r="T381" t="str">
        <f>IF(OR(AK381=1,AN381=1),"reef","no")</f>
        <v>no</v>
      </c>
      <c r="U381" s="1">
        <v>3.2012804440663821E-3</v>
      </c>
      <c r="V381" s="1">
        <v>0.22899159067137359</v>
      </c>
      <c r="W381" s="1">
        <v>0</v>
      </c>
      <c r="X381" s="1">
        <v>0</v>
      </c>
      <c r="Y381" s="1">
        <v>0</v>
      </c>
      <c r="Z381" s="1">
        <v>0</v>
      </c>
      <c r="AA381" s="1">
        <v>0.1546618612157368</v>
      </c>
      <c r="AB381" s="1">
        <v>0.61314526766882327</v>
      </c>
      <c r="AC381">
        <v>0</v>
      </c>
      <c r="AD381">
        <v>0</v>
      </c>
      <c r="AE381">
        <v>0</v>
      </c>
      <c r="AF381">
        <v>0</v>
      </c>
      <c r="AG381">
        <v>1</v>
      </c>
      <c r="AH381">
        <v>0</v>
      </c>
      <c r="AI381">
        <v>0</v>
      </c>
      <c r="AJ381">
        <v>0</v>
      </c>
      <c r="AK381">
        <v>0</v>
      </c>
      <c r="AL381">
        <v>1</v>
      </c>
      <c r="AM381">
        <v>1</v>
      </c>
      <c r="AN381">
        <v>0</v>
      </c>
      <c r="AO381">
        <v>0</v>
      </c>
      <c r="AP381">
        <v>0</v>
      </c>
      <c r="AQ381">
        <v>0</v>
      </c>
      <c r="AR381">
        <v>18</v>
      </c>
      <c r="AS381" t="s">
        <v>2587</v>
      </c>
    </row>
    <row r="382" spans="1:45" x14ac:dyDescent="0.25">
      <c r="A382">
        <v>53</v>
      </c>
      <c r="B382" t="str">
        <f>VLOOKUP(A382,'model groups'!$A$3:$C$86,2,FALSE)</f>
        <v>offshore demersal carnivores</v>
      </c>
      <c r="C382" t="s">
        <v>1170</v>
      </c>
      <c r="D382" t="s">
        <v>1171</v>
      </c>
      <c r="E382" t="s">
        <v>1171</v>
      </c>
      <c r="G382" t="s">
        <v>195</v>
      </c>
      <c r="H382" t="s">
        <v>413</v>
      </c>
      <c r="I382" t="s">
        <v>1167</v>
      </c>
      <c r="J382" t="s">
        <v>1168</v>
      </c>
      <c r="K382" t="s">
        <v>1172</v>
      </c>
      <c r="L382">
        <v>1.303957196</v>
      </c>
      <c r="N382">
        <v>18.504346139999999</v>
      </c>
      <c r="O382">
        <v>3.5249999999999999</v>
      </c>
      <c r="P382">
        <v>25.85</v>
      </c>
      <c r="R382" t="s">
        <v>70</v>
      </c>
      <c r="S382" t="s">
        <v>109</v>
      </c>
      <c r="T382" t="str">
        <f>IF(OR(AK382=1,AN382=1),"reef","no")</f>
        <v>no</v>
      </c>
      <c r="U382" s="1">
        <v>1.0668088813939917E-3</v>
      </c>
      <c r="V382" s="1">
        <v>0.74306574017816007</v>
      </c>
      <c r="W382" s="1">
        <v>0</v>
      </c>
      <c r="X382" s="1">
        <v>0</v>
      </c>
      <c r="Y382" s="1">
        <v>0</v>
      </c>
      <c r="Z382" s="1">
        <v>0</v>
      </c>
      <c r="AA382" s="1">
        <v>5.1540204167358564E-2</v>
      </c>
      <c r="AB382" s="1">
        <v>0.20432724677308745</v>
      </c>
      <c r="AC382">
        <v>0</v>
      </c>
      <c r="AD382">
        <v>0</v>
      </c>
      <c r="AE382">
        <v>0</v>
      </c>
      <c r="AF382">
        <v>0</v>
      </c>
      <c r="AG382">
        <v>1</v>
      </c>
      <c r="AH382">
        <v>0</v>
      </c>
      <c r="AI382">
        <v>0</v>
      </c>
      <c r="AJ382">
        <v>0</v>
      </c>
      <c r="AK382">
        <v>0</v>
      </c>
      <c r="AL382">
        <v>0</v>
      </c>
      <c r="AM382">
        <v>0</v>
      </c>
      <c r="AN382">
        <v>0</v>
      </c>
      <c r="AO382">
        <v>0</v>
      </c>
      <c r="AP382">
        <v>0</v>
      </c>
      <c r="AQ382">
        <v>0</v>
      </c>
      <c r="AR382">
        <v>18</v>
      </c>
      <c r="AS382" t="s">
        <v>2587</v>
      </c>
    </row>
    <row r="383" spans="1:45" x14ac:dyDescent="0.25">
      <c r="A383">
        <v>53</v>
      </c>
      <c r="B383" t="str">
        <f>VLOOKUP(A383,'model groups'!$A$3:$C$86,2,FALSE)</f>
        <v>offshore demersal carnivores</v>
      </c>
      <c r="C383" t="s">
        <v>1173</v>
      </c>
      <c r="D383" t="s">
        <v>1174</v>
      </c>
      <c r="E383" t="s">
        <v>1174</v>
      </c>
      <c r="G383" t="s">
        <v>195</v>
      </c>
      <c r="H383" t="s">
        <v>413</v>
      </c>
      <c r="I383" t="s">
        <v>1167</v>
      </c>
      <c r="J383" t="s">
        <v>1168</v>
      </c>
      <c r="K383" t="s">
        <v>1175</v>
      </c>
      <c r="L383">
        <v>0.84022107700000004</v>
      </c>
      <c r="N383">
        <v>36.603057360000001</v>
      </c>
      <c r="O383">
        <v>3.5249999999999999</v>
      </c>
      <c r="P383">
        <v>37.270000000000003</v>
      </c>
      <c r="R383" t="s">
        <v>70</v>
      </c>
      <c r="S383" t="s">
        <v>109</v>
      </c>
      <c r="T383" t="str">
        <f>IF(OR(AK383=1,AN383=1),"reef","no")</f>
        <v>no</v>
      </c>
      <c r="U383" s="1">
        <v>1.0668088813939917E-3</v>
      </c>
      <c r="V383" s="1">
        <v>0.74306574017816007</v>
      </c>
      <c r="W383" s="1">
        <v>0</v>
      </c>
      <c r="X383" s="1">
        <v>0</v>
      </c>
      <c r="Y383" s="1">
        <v>0</v>
      </c>
      <c r="Z383" s="1">
        <v>0</v>
      </c>
      <c r="AA383" s="1">
        <v>5.1540204167358564E-2</v>
      </c>
      <c r="AB383" s="1">
        <v>0.20432724677308745</v>
      </c>
      <c r="AC383">
        <v>0</v>
      </c>
      <c r="AD383">
        <v>0</v>
      </c>
      <c r="AE383">
        <v>0</v>
      </c>
      <c r="AF383">
        <v>0</v>
      </c>
      <c r="AG383">
        <v>0</v>
      </c>
      <c r="AH383">
        <v>0</v>
      </c>
      <c r="AI383">
        <v>0</v>
      </c>
      <c r="AJ383">
        <v>0</v>
      </c>
      <c r="AK383">
        <v>0</v>
      </c>
      <c r="AL383">
        <v>0</v>
      </c>
      <c r="AM383">
        <v>1</v>
      </c>
      <c r="AN383">
        <v>0</v>
      </c>
      <c r="AO383">
        <v>0</v>
      </c>
      <c r="AP383">
        <v>0</v>
      </c>
      <c r="AQ383">
        <v>0</v>
      </c>
      <c r="AR383">
        <v>18</v>
      </c>
      <c r="AS383" t="s">
        <v>2587</v>
      </c>
    </row>
    <row r="384" spans="1:45" x14ac:dyDescent="0.25">
      <c r="A384">
        <v>53</v>
      </c>
      <c r="B384" t="str">
        <f>VLOOKUP(A384,'model groups'!$A$3:$C$86,2,FALSE)</f>
        <v>offshore demersal carnivores</v>
      </c>
      <c r="C384" t="s">
        <v>1176</v>
      </c>
      <c r="D384" t="s">
        <v>1177</v>
      </c>
      <c r="E384" t="s">
        <v>1177</v>
      </c>
      <c r="G384" t="s">
        <v>195</v>
      </c>
      <c r="H384" t="s">
        <v>196</v>
      </c>
      <c r="I384" t="s">
        <v>1178</v>
      </c>
      <c r="J384" t="s">
        <v>1179</v>
      </c>
      <c r="K384" t="s">
        <v>1180</v>
      </c>
      <c r="L384">
        <v>0.96792099700000001</v>
      </c>
      <c r="N384">
        <v>29.38652402</v>
      </c>
      <c r="P384">
        <v>31.55</v>
      </c>
      <c r="Q384">
        <v>0.724885</v>
      </c>
      <c r="R384" t="s">
        <v>70</v>
      </c>
      <c r="S384" t="s">
        <v>109</v>
      </c>
      <c r="T384" t="str">
        <f>IF(OR(AK384=1,AN384=1),"reef","no")</f>
        <v>no</v>
      </c>
      <c r="U384" s="1"/>
      <c r="V384" s="1"/>
      <c r="W384" s="1"/>
      <c r="X384" s="1"/>
      <c r="Y384" s="1"/>
      <c r="Z384" s="1"/>
      <c r="AA384" s="1"/>
      <c r="AB384" s="1"/>
      <c r="AG384">
        <v>1</v>
      </c>
      <c r="AH384">
        <v>0</v>
      </c>
      <c r="AI384">
        <v>0</v>
      </c>
      <c r="AJ384">
        <v>0</v>
      </c>
      <c r="AK384">
        <v>0</v>
      </c>
      <c r="AL384">
        <v>0</v>
      </c>
      <c r="AM384">
        <v>0</v>
      </c>
      <c r="AN384">
        <v>0</v>
      </c>
      <c r="AO384">
        <v>0</v>
      </c>
      <c r="AP384">
        <v>0</v>
      </c>
      <c r="AQ384">
        <v>0</v>
      </c>
      <c r="AR384">
        <v>18</v>
      </c>
      <c r="AS384" t="s">
        <v>2587</v>
      </c>
    </row>
    <row r="385" spans="1:45" x14ac:dyDescent="0.25">
      <c r="A385">
        <v>54</v>
      </c>
      <c r="B385" t="str">
        <f>VLOOKUP(A385,'model groups'!$A$3:$C$86,2,FALSE)</f>
        <v>nearshore demersal carnivores</v>
      </c>
      <c r="C385" t="s">
        <v>1181</v>
      </c>
      <c r="D385" t="s">
        <v>1182</v>
      </c>
      <c r="E385" t="s">
        <v>1182</v>
      </c>
      <c r="G385" t="s">
        <v>195</v>
      </c>
      <c r="H385" t="s">
        <v>470</v>
      </c>
      <c r="I385" t="s">
        <v>1183</v>
      </c>
      <c r="J385" t="s">
        <v>1184</v>
      </c>
      <c r="K385" t="s">
        <v>1185</v>
      </c>
      <c r="L385">
        <v>1.051485306</v>
      </c>
      <c r="M385">
        <v>9.2475185700000004</v>
      </c>
      <c r="N385">
        <v>21.10297181</v>
      </c>
      <c r="O385">
        <v>2.95</v>
      </c>
      <c r="P385">
        <v>36.78</v>
      </c>
      <c r="Q385">
        <v>1.303895</v>
      </c>
      <c r="R385" t="s">
        <v>50</v>
      </c>
      <c r="S385" t="s">
        <v>109</v>
      </c>
      <c r="T385" t="str">
        <f>IF(OR(AK385=1,AN385=1),"reef","no")</f>
        <v>no</v>
      </c>
      <c r="U385" s="1">
        <v>0</v>
      </c>
      <c r="V385" s="1">
        <v>1.0999999769710002E-2</v>
      </c>
      <c r="W385" s="1">
        <v>0.13510000223671098</v>
      </c>
      <c r="X385" s="1">
        <v>0</v>
      </c>
      <c r="Y385" s="1">
        <v>0</v>
      </c>
      <c r="Z385" s="1">
        <v>0</v>
      </c>
      <c r="AA385" s="1">
        <v>0.85389999799357896</v>
      </c>
      <c r="AB385" s="1">
        <v>0</v>
      </c>
      <c r="AC385">
        <v>0</v>
      </c>
      <c r="AD385">
        <v>0</v>
      </c>
      <c r="AE385">
        <v>1</v>
      </c>
      <c r="AF385">
        <v>0</v>
      </c>
      <c r="AG385">
        <v>0</v>
      </c>
      <c r="AH385">
        <v>0</v>
      </c>
      <c r="AI385">
        <v>0</v>
      </c>
      <c r="AJ385">
        <v>0</v>
      </c>
      <c r="AK385">
        <v>0</v>
      </c>
      <c r="AL385">
        <v>1</v>
      </c>
      <c r="AM385">
        <v>0</v>
      </c>
      <c r="AN385">
        <v>0</v>
      </c>
      <c r="AO385">
        <v>0</v>
      </c>
      <c r="AP385">
        <v>0</v>
      </c>
      <c r="AQ385">
        <v>0</v>
      </c>
      <c r="AR385">
        <v>18</v>
      </c>
      <c r="AS385" t="s">
        <v>2587</v>
      </c>
    </row>
    <row r="386" spans="1:45" x14ac:dyDescent="0.25">
      <c r="A386">
        <v>54</v>
      </c>
      <c r="B386" t="str">
        <f>VLOOKUP(A386,'model groups'!$A$3:$C$86,2,FALSE)</f>
        <v>nearshore demersal carnivores</v>
      </c>
      <c r="C386" t="s">
        <v>71</v>
      </c>
      <c r="D386" t="s">
        <v>1186</v>
      </c>
      <c r="E386" t="s">
        <v>1186</v>
      </c>
      <c r="G386" t="s">
        <v>195</v>
      </c>
      <c r="H386" t="s">
        <v>553</v>
      </c>
      <c r="I386" t="s">
        <v>1187</v>
      </c>
      <c r="J386" t="s">
        <v>71</v>
      </c>
      <c r="K386" t="s">
        <v>1188</v>
      </c>
      <c r="L386" t="s">
        <v>71</v>
      </c>
      <c r="M386" t="s">
        <v>71</v>
      </c>
      <c r="N386" t="s">
        <v>71</v>
      </c>
      <c r="O386" t="s">
        <v>71</v>
      </c>
      <c r="P386" t="s">
        <v>71</v>
      </c>
      <c r="Q386" t="s">
        <v>71</v>
      </c>
      <c r="R386" t="s">
        <v>71</v>
      </c>
      <c r="S386" t="s">
        <v>71</v>
      </c>
      <c r="U386" t="s">
        <v>71</v>
      </c>
      <c r="V386" t="s">
        <v>71</v>
      </c>
      <c r="W386" t="s">
        <v>71</v>
      </c>
      <c r="X386" t="s">
        <v>71</v>
      </c>
      <c r="Y386" t="s">
        <v>71</v>
      </c>
      <c r="Z386" t="s">
        <v>71</v>
      </c>
      <c r="AA386" t="s">
        <v>71</v>
      </c>
      <c r="AB386" t="s">
        <v>71</v>
      </c>
      <c r="AC386" t="s">
        <v>71</v>
      </c>
      <c r="AD386" t="s">
        <v>71</v>
      </c>
      <c r="AE386" t="s">
        <v>71</v>
      </c>
      <c r="AF386" t="s">
        <v>71</v>
      </c>
      <c r="AG386">
        <v>0</v>
      </c>
      <c r="AH386">
        <v>0</v>
      </c>
      <c r="AI386">
        <v>0</v>
      </c>
      <c r="AJ386">
        <v>0</v>
      </c>
      <c r="AK386">
        <v>0</v>
      </c>
      <c r="AL386">
        <v>0</v>
      </c>
      <c r="AM386">
        <v>0</v>
      </c>
      <c r="AN386">
        <v>0</v>
      </c>
      <c r="AO386">
        <v>0</v>
      </c>
      <c r="AP386">
        <v>0</v>
      </c>
      <c r="AQ386">
        <v>1</v>
      </c>
      <c r="AR386">
        <v>18</v>
      </c>
      <c r="AS386" t="s">
        <v>2587</v>
      </c>
    </row>
    <row r="387" spans="1:45" x14ac:dyDescent="0.25">
      <c r="A387">
        <v>54</v>
      </c>
      <c r="B387" t="str">
        <f>VLOOKUP(A387,'model groups'!$A$3:$C$86,2,FALSE)</f>
        <v>nearshore demersal carnivores</v>
      </c>
      <c r="C387" t="s">
        <v>1189</v>
      </c>
      <c r="D387" t="s">
        <v>1190</v>
      </c>
      <c r="E387" t="s">
        <v>1190</v>
      </c>
      <c r="G387" t="s">
        <v>195</v>
      </c>
      <c r="H387" t="s">
        <v>553</v>
      </c>
      <c r="I387" t="s">
        <v>1187</v>
      </c>
      <c r="J387" t="s">
        <v>1191</v>
      </c>
      <c r="K387" t="s">
        <v>1192</v>
      </c>
      <c r="L387">
        <v>0.54140692700000004</v>
      </c>
      <c r="M387">
        <v>5.9269301144999993</v>
      </c>
      <c r="N387">
        <v>72.40373683</v>
      </c>
      <c r="O387">
        <v>3.67</v>
      </c>
      <c r="P387">
        <v>56.46</v>
      </c>
      <c r="Q387">
        <v>1.87561</v>
      </c>
      <c r="R387" t="s">
        <v>50</v>
      </c>
      <c r="S387" t="s">
        <v>77</v>
      </c>
      <c r="T387" t="str">
        <f>IF(OR(AK387=1,AN387=1),"reef","no")</f>
        <v>no</v>
      </c>
      <c r="U387" s="1">
        <v>0.15761059131363972</v>
      </c>
      <c r="V387" s="1">
        <v>0.37335666008058893</v>
      </c>
      <c r="W387" s="1">
        <v>0.18845289065083393</v>
      </c>
      <c r="X387" s="1">
        <v>8.8977754196152281E-3</v>
      </c>
      <c r="Y387" s="1">
        <v>0</v>
      </c>
      <c r="Z387" s="1">
        <v>0</v>
      </c>
      <c r="AA387" s="1">
        <v>0.24708823060871221</v>
      </c>
      <c r="AB387" s="1">
        <v>2.4593851926609948E-2</v>
      </c>
      <c r="AC387">
        <v>1</v>
      </c>
      <c r="AD387">
        <v>0</v>
      </c>
      <c r="AE387">
        <v>1</v>
      </c>
      <c r="AF387">
        <v>0</v>
      </c>
      <c r="AG387">
        <v>0</v>
      </c>
      <c r="AH387">
        <v>1</v>
      </c>
      <c r="AI387">
        <v>0</v>
      </c>
      <c r="AJ387">
        <v>0</v>
      </c>
      <c r="AK387">
        <v>0</v>
      </c>
      <c r="AL387">
        <v>0</v>
      </c>
      <c r="AM387">
        <v>1</v>
      </c>
      <c r="AN387">
        <v>0</v>
      </c>
      <c r="AO387">
        <v>0</v>
      </c>
      <c r="AP387">
        <v>0</v>
      </c>
      <c r="AQ387">
        <v>0</v>
      </c>
      <c r="AR387">
        <v>18</v>
      </c>
      <c r="AS387" t="s">
        <v>2587</v>
      </c>
    </row>
    <row r="388" spans="1:45" x14ac:dyDescent="0.25">
      <c r="A388">
        <v>54</v>
      </c>
      <c r="B388" t="str">
        <f>VLOOKUP(A388,'model groups'!$A$3:$C$86,2,FALSE)</f>
        <v>nearshore demersal carnivores</v>
      </c>
      <c r="C388" t="s">
        <v>1189</v>
      </c>
      <c r="D388" t="s">
        <v>1193</v>
      </c>
      <c r="E388" t="s">
        <v>1193</v>
      </c>
      <c r="G388" t="s">
        <v>195</v>
      </c>
      <c r="H388" t="s">
        <v>553</v>
      </c>
      <c r="I388" t="s">
        <v>1187</v>
      </c>
      <c r="J388" t="s">
        <v>1191</v>
      </c>
      <c r="K388" t="s">
        <v>1192</v>
      </c>
      <c r="L388">
        <v>0.54140692700000004</v>
      </c>
      <c r="M388">
        <v>5.9269301144999993</v>
      </c>
      <c r="N388">
        <v>72.40373683</v>
      </c>
      <c r="O388">
        <v>3.67</v>
      </c>
      <c r="P388">
        <v>56.46</v>
      </c>
      <c r="Q388">
        <v>1.87561</v>
      </c>
      <c r="R388" t="s">
        <v>50</v>
      </c>
      <c r="S388" t="s">
        <v>77</v>
      </c>
      <c r="T388" t="str">
        <f>IF(OR(AK388=1,AN388=1),"reef","no")</f>
        <v>no</v>
      </c>
      <c r="U388" s="1">
        <v>0.15761059131363972</v>
      </c>
      <c r="V388" s="1">
        <v>0.37335666008058893</v>
      </c>
      <c r="W388" s="1">
        <v>0.18845289065083393</v>
      </c>
      <c r="X388" s="1">
        <v>8.8977754196152281E-3</v>
      </c>
      <c r="Y388" s="1">
        <v>0</v>
      </c>
      <c r="Z388" s="1">
        <v>0</v>
      </c>
      <c r="AA388" s="1">
        <v>0.24708823060871221</v>
      </c>
      <c r="AB388" s="1">
        <v>2.4593851926609948E-2</v>
      </c>
      <c r="AC388">
        <v>1</v>
      </c>
      <c r="AD388">
        <v>0</v>
      </c>
      <c r="AE388">
        <v>1</v>
      </c>
      <c r="AF388">
        <v>0</v>
      </c>
      <c r="AG388">
        <v>0</v>
      </c>
      <c r="AH388">
        <v>0</v>
      </c>
      <c r="AI388">
        <v>0</v>
      </c>
      <c r="AJ388">
        <v>1</v>
      </c>
      <c r="AK388">
        <v>0</v>
      </c>
      <c r="AL388">
        <v>0</v>
      </c>
      <c r="AM388">
        <v>0</v>
      </c>
      <c r="AN388">
        <v>0</v>
      </c>
      <c r="AO388">
        <v>1</v>
      </c>
      <c r="AP388">
        <v>0</v>
      </c>
      <c r="AQ388">
        <v>0</v>
      </c>
      <c r="AR388">
        <v>18</v>
      </c>
      <c r="AS388" t="s">
        <v>2587</v>
      </c>
    </row>
    <row r="389" spans="1:45" x14ac:dyDescent="0.25">
      <c r="A389">
        <v>54</v>
      </c>
      <c r="B389" t="str">
        <f>VLOOKUP(A389,'model groups'!$A$3:$C$86,2,FALSE)</f>
        <v>nearshore demersal carnivores</v>
      </c>
      <c r="C389" t="s">
        <v>1194</v>
      </c>
      <c r="D389" t="s">
        <v>1195</v>
      </c>
      <c r="E389" t="s">
        <v>1195</v>
      </c>
      <c r="G389" t="s">
        <v>195</v>
      </c>
      <c r="H389" t="s">
        <v>553</v>
      </c>
      <c r="I389" t="s">
        <v>1187</v>
      </c>
      <c r="J389" t="s">
        <v>1196</v>
      </c>
      <c r="K389" t="s">
        <v>1197</v>
      </c>
      <c r="L389">
        <v>0.54636892400000003</v>
      </c>
      <c r="M389">
        <v>6.5164139309999998</v>
      </c>
      <c r="N389">
        <v>71.385727560000007</v>
      </c>
      <c r="O389">
        <v>3.556666667</v>
      </c>
      <c r="P389">
        <v>56.45</v>
      </c>
      <c r="Q389">
        <v>2.4799899999999999</v>
      </c>
      <c r="R389" t="s">
        <v>50</v>
      </c>
      <c r="S389" t="s">
        <v>109</v>
      </c>
      <c r="T389" t="str">
        <f>IF(OR(AK389=1,AN389=1),"reef","no")</f>
        <v>no</v>
      </c>
      <c r="U389" s="1">
        <v>0.1682000047358419</v>
      </c>
      <c r="V389" s="1">
        <v>0.58079999839284802</v>
      </c>
      <c r="W389" s="1">
        <v>0.17509999858963102</v>
      </c>
      <c r="X389" s="1">
        <v>7.5000001410749969E-4</v>
      </c>
      <c r="Y389" s="1">
        <v>0</v>
      </c>
      <c r="Z389" s="1">
        <v>0</v>
      </c>
      <c r="AA389" s="1">
        <v>6.6949998511329531E-2</v>
      </c>
      <c r="AB389" s="1">
        <v>8.199999756242006E-3</v>
      </c>
      <c r="AC389">
        <v>0</v>
      </c>
      <c r="AD389">
        <v>0</v>
      </c>
      <c r="AE389">
        <v>0</v>
      </c>
      <c r="AF389">
        <v>0</v>
      </c>
      <c r="AG389">
        <v>0</v>
      </c>
      <c r="AH389">
        <v>1</v>
      </c>
      <c r="AI389">
        <v>0</v>
      </c>
      <c r="AJ389">
        <v>1</v>
      </c>
      <c r="AK389">
        <v>0</v>
      </c>
      <c r="AL389">
        <v>0</v>
      </c>
      <c r="AM389">
        <v>1</v>
      </c>
      <c r="AN389">
        <v>0</v>
      </c>
      <c r="AO389">
        <v>1</v>
      </c>
      <c r="AP389">
        <v>0</v>
      </c>
      <c r="AQ389">
        <v>0</v>
      </c>
      <c r="AR389">
        <v>18</v>
      </c>
      <c r="AS389" t="s">
        <v>2587</v>
      </c>
    </row>
    <row r="390" spans="1:45" x14ac:dyDescent="0.25">
      <c r="A390">
        <v>54</v>
      </c>
      <c r="B390" t="str">
        <f>VLOOKUP(A390,'model groups'!$A$3:$C$86,2,FALSE)</f>
        <v>nearshore demersal carnivores</v>
      </c>
      <c r="C390" t="s">
        <v>1198</v>
      </c>
      <c r="D390" t="s">
        <v>1199</v>
      </c>
      <c r="E390" t="s">
        <v>1199</v>
      </c>
      <c r="G390" t="s">
        <v>241</v>
      </c>
      <c r="H390" t="s">
        <v>553</v>
      </c>
      <c r="I390" t="s">
        <v>1187</v>
      </c>
      <c r="J390" t="s">
        <v>1200</v>
      </c>
      <c r="AR390">
        <v>18</v>
      </c>
      <c r="AS390" t="s">
        <v>2587</v>
      </c>
    </row>
    <row r="391" spans="1:45" x14ac:dyDescent="0.25">
      <c r="A391">
        <v>54</v>
      </c>
      <c r="B391" t="str">
        <f>VLOOKUP(A391,'model groups'!$A$3:$C$86,2,FALSE)</f>
        <v>nearshore demersal carnivores</v>
      </c>
      <c r="C391" t="s">
        <v>1201</v>
      </c>
      <c r="D391" t="s">
        <v>1202</v>
      </c>
      <c r="E391" t="s">
        <v>1202</v>
      </c>
      <c r="G391" t="s">
        <v>195</v>
      </c>
      <c r="H391" t="s">
        <v>196</v>
      </c>
      <c r="I391" t="s">
        <v>197</v>
      </c>
      <c r="J391" t="s">
        <v>1203</v>
      </c>
      <c r="K391" t="s">
        <v>1204</v>
      </c>
      <c r="L391">
        <v>0.68501873499999999</v>
      </c>
      <c r="M391">
        <v>10.069184976999999</v>
      </c>
      <c r="N391">
        <v>50.254200869999998</v>
      </c>
      <c r="O391">
        <v>4.0533333330000003</v>
      </c>
      <c r="P391">
        <v>31.39</v>
      </c>
      <c r="Q391">
        <v>3.7130800000000002</v>
      </c>
      <c r="R391" t="s">
        <v>50</v>
      </c>
      <c r="S391" t="s">
        <v>109</v>
      </c>
      <c r="T391" t="str">
        <f>IF(OR(AK391=1,AN391=1),"reef","no")</f>
        <v>no</v>
      </c>
      <c r="U391" s="1">
        <v>0.38843883938255819</v>
      </c>
      <c r="V391" s="1">
        <v>0.59905991083560794</v>
      </c>
      <c r="W391" s="1">
        <v>7.0006998418233697E-3</v>
      </c>
      <c r="X391" s="1">
        <v>0</v>
      </c>
      <c r="Y391" s="1">
        <v>3.200319912546312E-3</v>
      </c>
      <c r="Z391" s="1">
        <v>0</v>
      </c>
      <c r="AA391" s="1">
        <v>2.3002300274641927E-3</v>
      </c>
      <c r="AB391" s="1">
        <v>0</v>
      </c>
      <c r="AC391">
        <v>1</v>
      </c>
      <c r="AD391">
        <v>1</v>
      </c>
      <c r="AE391">
        <v>0</v>
      </c>
      <c r="AF391">
        <v>0</v>
      </c>
      <c r="AG391">
        <v>0</v>
      </c>
      <c r="AH391">
        <v>0</v>
      </c>
      <c r="AI391">
        <v>0</v>
      </c>
      <c r="AJ391">
        <v>0</v>
      </c>
      <c r="AK391">
        <v>0</v>
      </c>
      <c r="AL391">
        <v>0</v>
      </c>
      <c r="AM391">
        <v>1</v>
      </c>
      <c r="AN391">
        <v>0</v>
      </c>
      <c r="AO391">
        <v>0</v>
      </c>
      <c r="AP391">
        <v>0</v>
      </c>
      <c r="AQ391">
        <v>1</v>
      </c>
      <c r="AR391">
        <v>18</v>
      </c>
      <c r="AS391" t="s">
        <v>2587</v>
      </c>
    </row>
    <row r="392" spans="1:45" x14ac:dyDescent="0.25">
      <c r="A392">
        <v>54</v>
      </c>
      <c r="B392" t="str">
        <f>VLOOKUP(A392,'model groups'!$A$3:$C$86,2,FALSE)</f>
        <v>nearshore demersal carnivores</v>
      </c>
      <c r="C392" t="s">
        <v>1205</v>
      </c>
      <c r="D392" t="s">
        <v>1206</v>
      </c>
      <c r="E392" t="s">
        <v>1206</v>
      </c>
      <c r="G392" t="s">
        <v>241</v>
      </c>
      <c r="H392" t="s">
        <v>209</v>
      </c>
      <c r="I392" t="s">
        <v>197</v>
      </c>
      <c r="J392" t="s">
        <v>1203</v>
      </c>
      <c r="AR392">
        <v>18</v>
      </c>
      <c r="AS392" t="s">
        <v>2587</v>
      </c>
    </row>
    <row r="393" spans="1:45" x14ac:dyDescent="0.25">
      <c r="A393">
        <v>54</v>
      </c>
      <c r="B393" t="str">
        <f>VLOOKUP(A393,'model groups'!$A$3:$C$86,2,FALSE)</f>
        <v>nearshore demersal carnivores</v>
      </c>
      <c r="C393" t="s">
        <v>1207</v>
      </c>
      <c r="D393" t="s">
        <v>1208</v>
      </c>
      <c r="E393" t="s">
        <v>1208</v>
      </c>
      <c r="G393" t="s">
        <v>195</v>
      </c>
      <c r="H393" t="s">
        <v>196</v>
      </c>
      <c r="I393" t="s">
        <v>197</v>
      </c>
      <c r="J393" t="s">
        <v>1209</v>
      </c>
      <c r="K393" t="s">
        <v>1210</v>
      </c>
      <c r="L393">
        <v>0.57305991000000001</v>
      </c>
      <c r="M393">
        <v>9.0557797430000004</v>
      </c>
      <c r="N393">
        <v>66.292090169999994</v>
      </c>
      <c r="O393">
        <v>3.6749999999999998</v>
      </c>
      <c r="P393">
        <v>37.04</v>
      </c>
      <c r="Q393">
        <v>2.5481799999999999</v>
      </c>
      <c r="R393" t="s">
        <v>50</v>
      </c>
      <c r="S393" t="s">
        <v>51</v>
      </c>
      <c r="T393" t="str">
        <f>IF(OR(AK393=1,AN393=1),"reef","no")</f>
        <v>no</v>
      </c>
      <c r="U393" s="1">
        <v>0</v>
      </c>
      <c r="V393" s="1">
        <v>1</v>
      </c>
      <c r="W393" s="1">
        <v>0</v>
      </c>
      <c r="X393" s="1">
        <v>0</v>
      </c>
      <c r="Y393" s="1">
        <v>0</v>
      </c>
      <c r="Z393" s="1">
        <v>0</v>
      </c>
      <c r="AA393" s="1">
        <v>0</v>
      </c>
      <c r="AB393" s="1">
        <v>0</v>
      </c>
      <c r="AC393">
        <v>0</v>
      </c>
      <c r="AD393">
        <v>0</v>
      </c>
      <c r="AE393">
        <v>0</v>
      </c>
      <c r="AF393">
        <v>0</v>
      </c>
      <c r="AG393">
        <v>0</v>
      </c>
      <c r="AH393">
        <v>0</v>
      </c>
      <c r="AI393">
        <v>0</v>
      </c>
      <c r="AJ393">
        <v>0</v>
      </c>
      <c r="AK393">
        <v>0</v>
      </c>
      <c r="AL393">
        <v>0</v>
      </c>
      <c r="AM393">
        <v>1</v>
      </c>
      <c r="AN393">
        <v>0</v>
      </c>
      <c r="AO393">
        <v>0</v>
      </c>
      <c r="AP393">
        <v>0</v>
      </c>
      <c r="AQ393">
        <v>1</v>
      </c>
      <c r="AR393">
        <v>18</v>
      </c>
      <c r="AS393" t="s">
        <v>2587</v>
      </c>
    </row>
    <row r="394" spans="1:45" x14ac:dyDescent="0.25">
      <c r="A394">
        <v>54</v>
      </c>
      <c r="B394" t="str">
        <f>VLOOKUP(A394,'model groups'!$A$3:$C$86,2,FALSE)</f>
        <v>nearshore demersal carnivores</v>
      </c>
      <c r="C394" t="s">
        <v>1211</v>
      </c>
      <c r="D394" t="s">
        <v>1212</v>
      </c>
      <c r="E394" t="s">
        <v>1212</v>
      </c>
      <c r="G394" t="s">
        <v>241</v>
      </c>
      <c r="H394" t="s">
        <v>209</v>
      </c>
      <c r="I394" t="s">
        <v>197</v>
      </c>
      <c r="J394" t="s">
        <v>1209</v>
      </c>
      <c r="AR394">
        <v>18</v>
      </c>
      <c r="AS394" t="s">
        <v>2587</v>
      </c>
    </row>
    <row r="395" spans="1:45" x14ac:dyDescent="0.25">
      <c r="A395">
        <v>54</v>
      </c>
      <c r="B395" t="str">
        <f>VLOOKUP(A395,'model groups'!$A$3:$C$86,2,FALSE)</f>
        <v>nearshore demersal carnivores</v>
      </c>
      <c r="C395" t="s">
        <v>1213</v>
      </c>
      <c r="D395" t="s">
        <v>1214</v>
      </c>
      <c r="E395" t="s">
        <v>1214</v>
      </c>
      <c r="G395" t="s">
        <v>195</v>
      </c>
      <c r="H395" t="s">
        <v>319</v>
      </c>
      <c r="I395" t="s">
        <v>449</v>
      </c>
      <c r="J395" t="s">
        <v>1215</v>
      </c>
      <c r="K395" t="s">
        <v>1216</v>
      </c>
      <c r="L395">
        <v>0.70654144799999996</v>
      </c>
      <c r="M395">
        <v>7.7404189705000004</v>
      </c>
      <c r="N395">
        <v>47.898287029999999</v>
      </c>
      <c r="O395">
        <v>3.4033333680000002</v>
      </c>
      <c r="P395">
        <v>50.68</v>
      </c>
      <c r="Q395">
        <v>1.8251900000000001</v>
      </c>
      <c r="R395" t="s">
        <v>50</v>
      </c>
      <c r="S395" t="s">
        <v>109</v>
      </c>
      <c r="T395" t="str">
        <f t="shared" ref="T395:T402" si="10">IF(OR(AK395=1,AN395=1),"reef","no")</f>
        <v>no</v>
      </c>
      <c r="U395" s="1">
        <v>2.1666666389633337E-2</v>
      </c>
      <c r="V395" s="1">
        <v>0.26760000193725597</v>
      </c>
      <c r="W395" s="1">
        <v>0.27286666516910535</v>
      </c>
      <c r="X395" s="1">
        <v>3.1666665890233343E-3</v>
      </c>
      <c r="Y395" s="1">
        <v>0</v>
      </c>
      <c r="Z395" s="1">
        <v>0</v>
      </c>
      <c r="AA395" s="1">
        <v>0.31236666559797538</v>
      </c>
      <c r="AB395" s="1">
        <v>0.12233333431700666</v>
      </c>
      <c r="AC395">
        <v>1</v>
      </c>
      <c r="AD395">
        <v>1</v>
      </c>
      <c r="AE395">
        <v>1</v>
      </c>
      <c r="AF395">
        <v>1</v>
      </c>
      <c r="AG395">
        <v>1</v>
      </c>
      <c r="AH395">
        <v>0</v>
      </c>
      <c r="AI395">
        <v>0</v>
      </c>
      <c r="AJ395">
        <v>0</v>
      </c>
      <c r="AK395">
        <v>0</v>
      </c>
      <c r="AL395">
        <v>0</v>
      </c>
      <c r="AM395">
        <v>0</v>
      </c>
      <c r="AN395">
        <v>0</v>
      </c>
      <c r="AO395">
        <v>0</v>
      </c>
      <c r="AP395">
        <v>0</v>
      </c>
      <c r="AQ395">
        <v>0</v>
      </c>
      <c r="AR395">
        <v>18</v>
      </c>
      <c r="AS395" t="s">
        <v>2587</v>
      </c>
    </row>
    <row r="396" spans="1:45" x14ac:dyDescent="0.25">
      <c r="A396">
        <v>54</v>
      </c>
      <c r="B396" t="str">
        <f>VLOOKUP(A396,'model groups'!$A$3:$C$86,2,FALSE)</f>
        <v>nearshore demersal carnivores</v>
      </c>
      <c r="C396" t="s">
        <v>1213</v>
      </c>
      <c r="D396" t="s">
        <v>1217</v>
      </c>
      <c r="E396" t="s">
        <v>1217</v>
      </c>
      <c r="G396" t="s">
        <v>195</v>
      </c>
      <c r="H396" t="s">
        <v>196</v>
      </c>
      <c r="I396" t="s">
        <v>449</v>
      </c>
      <c r="J396" t="s">
        <v>1215</v>
      </c>
      <c r="K396" t="s">
        <v>1216</v>
      </c>
      <c r="L396">
        <v>0.70654144799999996</v>
      </c>
      <c r="M396">
        <v>7.7404189705000004</v>
      </c>
      <c r="N396">
        <v>47.898287029999999</v>
      </c>
      <c r="O396">
        <v>3.4033333680000002</v>
      </c>
      <c r="P396">
        <v>50.68</v>
      </c>
      <c r="Q396">
        <v>1.8251900000000001</v>
      </c>
      <c r="R396" t="s">
        <v>50</v>
      </c>
      <c r="S396" t="s">
        <v>109</v>
      </c>
      <c r="T396" t="str">
        <f t="shared" si="10"/>
        <v>reef</v>
      </c>
      <c r="U396" s="1">
        <v>2.1666666389633337E-2</v>
      </c>
      <c r="V396" s="1">
        <v>0.26760000193725597</v>
      </c>
      <c r="W396" s="1">
        <v>0.27286666516910535</v>
      </c>
      <c r="X396" s="1">
        <v>3.1666665890233343E-3</v>
      </c>
      <c r="Y396" s="1">
        <v>0</v>
      </c>
      <c r="Z396" s="1">
        <v>0</v>
      </c>
      <c r="AA396" s="1">
        <v>0.31236666559797538</v>
      </c>
      <c r="AB396" s="1">
        <v>0.12233333431700666</v>
      </c>
      <c r="AC396">
        <v>1</v>
      </c>
      <c r="AD396">
        <v>1</v>
      </c>
      <c r="AE396">
        <v>1</v>
      </c>
      <c r="AF396">
        <v>1</v>
      </c>
      <c r="AG396">
        <v>0</v>
      </c>
      <c r="AH396">
        <v>0</v>
      </c>
      <c r="AI396">
        <v>0</v>
      </c>
      <c r="AJ396">
        <v>0</v>
      </c>
      <c r="AK396">
        <v>1</v>
      </c>
      <c r="AL396">
        <v>1</v>
      </c>
      <c r="AM396">
        <v>1</v>
      </c>
      <c r="AN396">
        <v>0</v>
      </c>
      <c r="AO396">
        <v>0</v>
      </c>
      <c r="AP396">
        <v>1</v>
      </c>
      <c r="AQ396">
        <v>1</v>
      </c>
      <c r="AR396">
        <v>18</v>
      </c>
      <c r="AS396" t="s">
        <v>2587</v>
      </c>
    </row>
    <row r="397" spans="1:45" x14ac:dyDescent="0.25">
      <c r="A397">
        <v>54</v>
      </c>
      <c r="B397" t="str">
        <f>VLOOKUP(A397,'model groups'!$A$3:$C$86,2,FALSE)</f>
        <v>nearshore demersal carnivores</v>
      </c>
      <c r="C397" t="s">
        <v>1218</v>
      </c>
      <c r="D397" t="s">
        <v>1219</v>
      </c>
      <c r="E397" t="s">
        <v>1219</v>
      </c>
      <c r="G397" t="s">
        <v>195</v>
      </c>
      <c r="H397" t="s">
        <v>643</v>
      </c>
      <c r="I397" t="s">
        <v>437</v>
      </c>
      <c r="J397" t="s">
        <v>1220</v>
      </c>
      <c r="T397" t="str">
        <f t="shared" si="10"/>
        <v>no</v>
      </c>
      <c r="U397" s="1"/>
      <c r="V397" s="1"/>
      <c r="W397" s="1"/>
      <c r="X397" s="1"/>
      <c r="Y397" s="1"/>
      <c r="Z397" s="1"/>
      <c r="AA397" s="1"/>
      <c r="AB397" s="1"/>
      <c r="AG397">
        <v>1</v>
      </c>
      <c r="AH397">
        <v>0</v>
      </c>
      <c r="AI397">
        <v>0</v>
      </c>
      <c r="AJ397">
        <v>0</v>
      </c>
      <c r="AK397">
        <v>0</v>
      </c>
      <c r="AL397">
        <v>0</v>
      </c>
      <c r="AM397">
        <v>1</v>
      </c>
      <c r="AN397">
        <v>0</v>
      </c>
      <c r="AO397">
        <v>0</v>
      </c>
      <c r="AP397">
        <v>0</v>
      </c>
      <c r="AQ397">
        <v>0</v>
      </c>
      <c r="AR397">
        <v>18</v>
      </c>
      <c r="AS397" t="s">
        <v>2587</v>
      </c>
    </row>
    <row r="398" spans="1:45" x14ac:dyDescent="0.25">
      <c r="A398">
        <v>54</v>
      </c>
      <c r="B398" t="str">
        <f>VLOOKUP(A398,'model groups'!$A$3:$C$86,2,FALSE)</f>
        <v>nearshore demersal carnivores</v>
      </c>
      <c r="C398" t="s">
        <v>529</v>
      </c>
      <c r="D398" t="s">
        <v>529</v>
      </c>
      <c r="E398" t="s">
        <v>1222</v>
      </c>
      <c r="G398" t="s">
        <v>195</v>
      </c>
      <c r="H398" t="s">
        <v>470</v>
      </c>
      <c r="I398" t="s">
        <v>471</v>
      </c>
      <c r="J398" t="s">
        <v>531</v>
      </c>
      <c r="K398" t="s">
        <v>2550</v>
      </c>
      <c r="L398">
        <v>2.7089638539999998</v>
      </c>
      <c r="M398">
        <v>11.076910545</v>
      </c>
      <c r="N398">
        <v>18.7</v>
      </c>
      <c r="O398">
        <v>3.384999986</v>
      </c>
      <c r="P398">
        <v>26.6</v>
      </c>
      <c r="Q398">
        <v>1.2909999999999999</v>
      </c>
      <c r="R398" t="s">
        <v>50</v>
      </c>
      <c r="S398" t="s">
        <v>109</v>
      </c>
      <c r="T398" t="str">
        <f t="shared" si="10"/>
        <v>no</v>
      </c>
      <c r="U398" s="1">
        <v>3.4679763868869944E-2</v>
      </c>
      <c r="V398" s="1">
        <v>0.74020246855458238</v>
      </c>
      <c r="W398" s="1">
        <v>7.5172899341834961E-3</v>
      </c>
      <c r="X398" s="1">
        <v>4.0092211478853987E-3</v>
      </c>
      <c r="Y398" s="1">
        <v>0</v>
      </c>
      <c r="Z398" s="1">
        <v>4.2096823831888636E-3</v>
      </c>
      <c r="AA398" s="1">
        <v>0.19404630315673121</v>
      </c>
      <c r="AB398" s="1">
        <v>1.5335270954558616E-2</v>
      </c>
      <c r="AC398">
        <v>1</v>
      </c>
      <c r="AD398">
        <v>0</v>
      </c>
      <c r="AE398">
        <v>0</v>
      </c>
      <c r="AF398">
        <v>0</v>
      </c>
      <c r="AG398">
        <v>0</v>
      </c>
      <c r="AH398">
        <v>0</v>
      </c>
      <c r="AI398">
        <v>0</v>
      </c>
      <c r="AJ398">
        <v>0</v>
      </c>
      <c r="AK398">
        <v>0</v>
      </c>
      <c r="AL398">
        <v>1</v>
      </c>
      <c r="AM398">
        <v>1</v>
      </c>
      <c r="AN398">
        <v>0</v>
      </c>
      <c r="AO398">
        <v>0</v>
      </c>
      <c r="AP398">
        <v>0</v>
      </c>
      <c r="AQ398">
        <v>0</v>
      </c>
      <c r="AR398">
        <v>18</v>
      </c>
      <c r="AS398" t="s">
        <v>2587</v>
      </c>
    </row>
    <row r="399" spans="1:45" x14ac:dyDescent="0.25">
      <c r="A399">
        <v>54</v>
      </c>
      <c r="B399" t="str">
        <f>VLOOKUP(A399,'model groups'!$A$3:$C$86,2,FALSE)</f>
        <v>nearshore demersal carnivores</v>
      </c>
      <c r="C399" t="s">
        <v>1221</v>
      </c>
      <c r="D399" t="s">
        <v>1222</v>
      </c>
      <c r="E399" t="s">
        <v>1222</v>
      </c>
      <c r="G399" t="s">
        <v>195</v>
      </c>
      <c r="H399" t="s">
        <v>470</v>
      </c>
      <c r="I399" t="s">
        <v>471</v>
      </c>
      <c r="J399" t="s">
        <v>531</v>
      </c>
      <c r="K399" t="s">
        <v>1223</v>
      </c>
      <c r="L399">
        <v>2.7089638539999998</v>
      </c>
      <c r="M399">
        <v>11.076910545</v>
      </c>
      <c r="N399">
        <v>18.7</v>
      </c>
      <c r="O399">
        <v>3.384999986</v>
      </c>
      <c r="P399">
        <v>26.6</v>
      </c>
      <c r="Q399">
        <v>1.2909999999999999</v>
      </c>
      <c r="R399" t="s">
        <v>50</v>
      </c>
      <c r="S399" t="s">
        <v>109</v>
      </c>
      <c r="T399" t="str">
        <f t="shared" si="10"/>
        <v>no</v>
      </c>
      <c r="U399" s="1">
        <v>3.4679763868869944E-2</v>
      </c>
      <c r="V399" s="1">
        <v>0.74020246855458238</v>
      </c>
      <c r="W399" s="1">
        <v>7.5172899341834961E-3</v>
      </c>
      <c r="X399" s="1">
        <v>4.0092211478853987E-3</v>
      </c>
      <c r="Y399" s="1">
        <v>0</v>
      </c>
      <c r="Z399" s="1">
        <v>4.2096823831888636E-3</v>
      </c>
      <c r="AA399" s="1">
        <v>0.19404630315673121</v>
      </c>
      <c r="AB399" s="1">
        <v>1.5335270954558616E-2</v>
      </c>
      <c r="AC399">
        <v>1</v>
      </c>
      <c r="AD399">
        <v>0</v>
      </c>
      <c r="AE399">
        <v>0</v>
      </c>
      <c r="AF399">
        <v>0</v>
      </c>
      <c r="AG399">
        <v>0</v>
      </c>
      <c r="AH399">
        <v>0</v>
      </c>
      <c r="AI399">
        <v>0</v>
      </c>
      <c r="AJ399">
        <v>0</v>
      </c>
      <c r="AK399">
        <v>0</v>
      </c>
      <c r="AL399">
        <v>1</v>
      </c>
      <c r="AM399">
        <v>1</v>
      </c>
      <c r="AN399">
        <v>0</v>
      </c>
      <c r="AO399">
        <v>0</v>
      </c>
      <c r="AP399">
        <v>0</v>
      </c>
      <c r="AQ399">
        <v>0</v>
      </c>
      <c r="AR399">
        <v>18</v>
      </c>
      <c r="AS399" t="s">
        <v>2587</v>
      </c>
    </row>
    <row r="400" spans="1:45" x14ac:dyDescent="0.25">
      <c r="A400">
        <v>54</v>
      </c>
      <c r="B400" t="str">
        <f>VLOOKUP(A400,'model groups'!$A$3:$C$86,2,FALSE)</f>
        <v>nearshore demersal carnivores</v>
      </c>
      <c r="C400" t="s">
        <v>1224</v>
      </c>
      <c r="D400" t="s">
        <v>1225</v>
      </c>
      <c r="E400" t="s">
        <v>1225</v>
      </c>
      <c r="G400" t="s">
        <v>195</v>
      </c>
      <c r="H400" t="s">
        <v>196</v>
      </c>
      <c r="I400" t="s">
        <v>559</v>
      </c>
      <c r="J400" t="s">
        <v>1226</v>
      </c>
      <c r="K400" t="s">
        <v>1227</v>
      </c>
      <c r="L400">
        <v>4.5824999999999996</v>
      </c>
      <c r="M400">
        <v>11.41080844</v>
      </c>
      <c r="N400">
        <v>16.3</v>
      </c>
      <c r="O400">
        <v>3.2</v>
      </c>
      <c r="P400">
        <v>20.52</v>
      </c>
      <c r="Q400">
        <v>1.56165</v>
      </c>
      <c r="R400" t="s">
        <v>50</v>
      </c>
      <c r="S400" t="s">
        <v>109</v>
      </c>
      <c r="T400" t="str">
        <f t="shared" si="10"/>
        <v>no</v>
      </c>
      <c r="U400" s="1">
        <v>0.36749999697577501</v>
      </c>
      <c r="V400" s="1">
        <v>0.25700000000061002</v>
      </c>
      <c r="W400" s="1">
        <v>1.8499999970005E-2</v>
      </c>
      <c r="X400" s="1">
        <v>1.8750000182437502E-2</v>
      </c>
      <c r="Y400" s="1">
        <v>0</v>
      </c>
      <c r="Z400" s="1">
        <v>0</v>
      </c>
      <c r="AA400" s="1">
        <v>4.199999998865999E-2</v>
      </c>
      <c r="AB400" s="1">
        <v>0.29625000288251252</v>
      </c>
      <c r="AC400">
        <v>0</v>
      </c>
      <c r="AD400">
        <v>0</v>
      </c>
      <c r="AE400">
        <v>1</v>
      </c>
      <c r="AF400">
        <v>0</v>
      </c>
      <c r="AG400">
        <v>0</v>
      </c>
      <c r="AH400">
        <v>0</v>
      </c>
      <c r="AI400">
        <v>0</v>
      </c>
      <c r="AJ400">
        <v>0</v>
      </c>
      <c r="AK400">
        <v>0</v>
      </c>
      <c r="AL400">
        <v>1</v>
      </c>
      <c r="AM400">
        <v>1</v>
      </c>
      <c r="AN400">
        <v>0</v>
      </c>
      <c r="AO400">
        <v>0</v>
      </c>
      <c r="AP400">
        <v>0</v>
      </c>
      <c r="AQ400">
        <v>0</v>
      </c>
      <c r="AR400">
        <v>18</v>
      </c>
      <c r="AS400" t="s">
        <v>2587</v>
      </c>
    </row>
    <row r="401" spans="1:45" x14ac:dyDescent="0.25">
      <c r="A401">
        <v>54</v>
      </c>
      <c r="B401" t="str">
        <f>VLOOKUP(A401,'model groups'!$A$3:$C$86,2,FALSE)</f>
        <v>nearshore demersal carnivores</v>
      </c>
      <c r="C401" t="s">
        <v>1228</v>
      </c>
      <c r="D401" t="s">
        <v>1229</v>
      </c>
      <c r="E401" t="s">
        <v>1229</v>
      </c>
      <c r="G401" t="s">
        <v>195</v>
      </c>
      <c r="H401" t="s">
        <v>196</v>
      </c>
      <c r="I401" t="s">
        <v>559</v>
      </c>
      <c r="J401" t="s">
        <v>953</v>
      </c>
      <c r="K401" t="s">
        <v>1230</v>
      </c>
      <c r="L401">
        <v>0.95285258399999995</v>
      </c>
      <c r="M401">
        <v>4.3367321079999996</v>
      </c>
      <c r="N401">
        <v>65.782386189999997</v>
      </c>
      <c r="O401">
        <v>4.4550000000000001</v>
      </c>
      <c r="P401">
        <v>36.25</v>
      </c>
      <c r="Q401">
        <v>1.1700999999999999</v>
      </c>
      <c r="R401" t="s">
        <v>50</v>
      </c>
      <c r="S401" t="s">
        <v>109</v>
      </c>
      <c r="T401" t="str">
        <f t="shared" si="10"/>
        <v>no</v>
      </c>
      <c r="U401" s="1">
        <v>0.44284999732382446</v>
      </c>
      <c r="V401" s="1">
        <v>0.23946666519436263</v>
      </c>
      <c r="W401" s="1">
        <v>1.3333333100933332E-2</v>
      </c>
      <c r="X401" s="1">
        <v>0</v>
      </c>
      <c r="Y401" s="1">
        <v>7.9333331152553324E-2</v>
      </c>
      <c r="Z401" s="1">
        <v>0</v>
      </c>
      <c r="AA401" s="1">
        <v>2.2000000200539997E-2</v>
      </c>
      <c r="AB401" s="1">
        <v>0.2030166730277862</v>
      </c>
      <c r="AC401">
        <v>1</v>
      </c>
      <c r="AD401">
        <v>0</v>
      </c>
      <c r="AE401">
        <v>0</v>
      </c>
      <c r="AF401">
        <v>0</v>
      </c>
      <c r="AG401">
        <v>0</v>
      </c>
      <c r="AH401">
        <v>1</v>
      </c>
      <c r="AI401">
        <v>0</v>
      </c>
      <c r="AJ401">
        <v>0</v>
      </c>
      <c r="AK401">
        <v>0</v>
      </c>
      <c r="AL401">
        <v>0</v>
      </c>
      <c r="AM401">
        <v>1</v>
      </c>
      <c r="AN401">
        <v>0</v>
      </c>
      <c r="AO401">
        <v>0</v>
      </c>
      <c r="AP401">
        <v>0</v>
      </c>
      <c r="AQ401">
        <v>1</v>
      </c>
      <c r="AR401">
        <v>18</v>
      </c>
      <c r="AS401" t="s">
        <v>2587</v>
      </c>
    </row>
    <row r="402" spans="1:45" x14ac:dyDescent="0.25">
      <c r="A402">
        <v>54</v>
      </c>
      <c r="B402" t="str">
        <f>VLOOKUP(A402,'model groups'!$A$3:$C$86,2,FALSE)</f>
        <v>nearshore demersal carnivores</v>
      </c>
      <c r="C402" t="s">
        <v>1231</v>
      </c>
      <c r="D402" t="s">
        <v>1232</v>
      </c>
      <c r="E402" t="s">
        <v>1232</v>
      </c>
      <c r="G402" t="s">
        <v>195</v>
      </c>
      <c r="H402" t="s">
        <v>196</v>
      </c>
      <c r="I402" t="s">
        <v>559</v>
      </c>
      <c r="J402" t="s">
        <v>1233</v>
      </c>
      <c r="K402" t="s">
        <v>1234</v>
      </c>
      <c r="L402">
        <v>0.82534637</v>
      </c>
      <c r="M402">
        <v>10.871138235</v>
      </c>
      <c r="N402">
        <v>37.631999219999997</v>
      </c>
      <c r="O402">
        <v>3.52</v>
      </c>
      <c r="P402">
        <v>29.15</v>
      </c>
      <c r="Q402">
        <v>1.5411600000000001</v>
      </c>
      <c r="R402" t="s">
        <v>50</v>
      </c>
      <c r="S402" t="s">
        <v>109</v>
      </c>
      <c r="T402" t="str">
        <f t="shared" si="10"/>
        <v>no</v>
      </c>
      <c r="U402" s="1">
        <v>3.2951225720556733E-2</v>
      </c>
      <c r="V402" s="1">
        <v>0.23981355573620244</v>
      </c>
      <c r="W402" s="1">
        <v>0.3548361959752574</v>
      </c>
      <c r="X402" s="1">
        <v>1.6726510334142397E-3</v>
      </c>
      <c r="Y402" s="1">
        <v>0</v>
      </c>
      <c r="Z402" s="1">
        <v>0</v>
      </c>
      <c r="AA402" s="1">
        <v>0.22132518106381471</v>
      </c>
      <c r="AB402" s="1">
        <v>0.14940119047075448</v>
      </c>
      <c r="AC402">
        <v>1</v>
      </c>
      <c r="AD402">
        <v>0</v>
      </c>
      <c r="AE402">
        <v>0</v>
      </c>
      <c r="AF402">
        <v>0</v>
      </c>
      <c r="AG402">
        <v>1</v>
      </c>
      <c r="AH402">
        <v>0</v>
      </c>
      <c r="AI402">
        <v>0</v>
      </c>
      <c r="AJ402">
        <v>0</v>
      </c>
      <c r="AK402">
        <v>0</v>
      </c>
      <c r="AL402">
        <v>1</v>
      </c>
      <c r="AM402">
        <v>1</v>
      </c>
      <c r="AN402">
        <v>0</v>
      </c>
      <c r="AO402">
        <v>0</v>
      </c>
      <c r="AP402">
        <v>0</v>
      </c>
      <c r="AQ402">
        <v>1</v>
      </c>
      <c r="AR402">
        <v>18</v>
      </c>
      <c r="AS402" t="s">
        <v>2587</v>
      </c>
    </row>
    <row r="403" spans="1:45" x14ac:dyDescent="0.25">
      <c r="A403">
        <v>54</v>
      </c>
      <c r="B403" t="str">
        <f>VLOOKUP(A403,'model groups'!$A$3:$C$86,2,FALSE)</f>
        <v>nearshore demersal carnivores</v>
      </c>
      <c r="C403" t="s">
        <v>71</v>
      </c>
      <c r="D403" t="s">
        <v>1235</v>
      </c>
      <c r="E403" t="s">
        <v>1235</v>
      </c>
      <c r="G403" t="s">
        <v>195</v>
      </c>
      <c r="H403" t="s">
        <v>71</v>
      </c>
      <c r="I403" t="s">
        <v>559</v>
      </c>
      <c r="J403" t="s">
        <v>1236</v>
      </c>
      <c r="K403" t="s">
        <v>1237</v>
      </c>
      <c r="L403" t="s">
        <v>71</v>
      </c>
      <c r="M403" t="s">
        <v>71</v>
      </c>
      <c r="N403" t="s">
        <v>71</v>
      </c>
      <c r="O403" t="s">
        <v>71</v>
      </c>
      <c r="P403" t="s">
        <v>71</v>
      </c>
      <c r="Q403" t="s">
        <v>71</v>
      </c>
      <c r="R403" t="s">
        <v>71</v>
      </c>
      <c r="S403" t="s">
        <v>71</v>
      </c>
      <c r="U403" t="s">
        <v>71</v>
      </c>
      <c r="V403" t="s">
        <v>71</v>
      </c>
      <c r="W403" t="s">
        <v>71</v>
      </c>
      <c r="X403" t="s">
        <v>71</v>
      </c>
      <c r="Y403" t="s">
        <v>71</v>
      </c>
      <c r="Z403" t="s">
        <v>71</v>
      </c>
      <c r="AA403" t="s">
        <v>71</v>
      </c>
      <c r="AB403" t="s">
        <v>71</v>
      </c>
      <c r="AC403" t="s">
        <v>71</v>
      </c>
      <c r="AD403" t="s">
        <v>71</v>
      </c>
      <c r="AE403" t="s">
        <v>71</v>
      </c>
      <c r="AF403" t="s">
        <v>71</v>
      </c>
      <c r="AG403">
        <v>0</v>
      </c>
      <c r="AH403">
        <v>0</v>
      </c>
      <c r="AI403">
        <v>0</v>
      </c>
      <c r="AJ403">
        <v>0</v>
      </c>
      <c r="AK403">
        <v>0</v>
      </c>
      <c r="AL403">
        <v>0</v>
      </c>
      <c r="AM403">
        <v>0</v>
      </c>
      <c r="AN403">
        <v>0</v>
      </c>
      <c r="AO403">
        <v>0</v>
      </c>
      <c r="AP403">
        <v>0</v>
      </c>
      <c r="AQ403">
        <v>1</v>
      </c>
      <c r="AR403">
        <v>18</v>
      </c>
      <c r="AS403" t="s">
        <v>2587</v>
      </c>
    </row>
    <row r="404" spans="1:45" x14ac:dyDescent="0.25">
      <c r="A404">
        <v>54</v>
      </c>
      <c r="B404" t="str">
        <f>VLOOKUP(A404,'model groups'!$A$3:$C$86,2,FALSE)</f>
        <v>nearshore demersal carnivores</v>
      </c>
      <c r="C404" t="s">
        <v>1238</v>
      </c>
      <c r="D404" t="s">
        <v>1239</v>
      </c>
      <c r="E404" t="s">
        <v>1239</v>
      </c>
      <c r="G404" t="s">
        <v>195</v>
      </c>
      <c r="H404" t="s">
        <v>196</v>
      </c>
      <c r="I404" t="s">
        <v>559</v>
      </c>
      <c r="J404" t="s">
        <v>1236</v>
      </c>
      <c r="K404" t="s">
        <v>1240</v>
      </c>
      <c r="L404">
        <v>1.1762996800000001</v>
      </c>
      <c r="M404">
        <v>6.013974621</v>
      </c>
      <c r="N404">
        <v>51.994377290000003</v>
      </c>
      <c r="O404">
        <v>3.4550000000000001</v>
      </c>
      <c r="P404">
        <v>38.25</v>
      </c>
      <c r="Q404">
        <v>1.29627</v>
      </c>
      <c r="R404" t="s">
        <v>50</v>
      </c>
      <c r="S404" t="s">
        <v>109</v>
      </c>
      <c r="T404" t="str">
        <f t="shared" ref="T404:T410" si="11">IF(OR(AK404=1,AN404=1),"reef","no")</f>
        <v>no</v>
      </c>
      <c r="U404" s="1">
        <v>0.13128571510763001</v>
      </c>
      <c r="V404" s="1">
        <v>0.62214285475334996</v>
      </c>
      <c r="W404" s="1">
        <v>6.3571429252649997E-2</v>
      </c>
      <c r="X404" s="1">
        <v>0</v>
      </c>
      <c r="Y404" s="1">
        <v>0</v>
      </c>
      <c r="Z404" s="1">
        <v>2.28571433232E-3</v>
      </c>
      <c r="AA404" s="1">
        <v>0.18071428655405</v>
      </c>
      <c r="AB404" s="1">
        <v>0</v>
      </c>
      <c r="AC404">
        <v>0</v>
      </c>
      <c r="AD404">
        <v>0</v>
      </c>
      <c r="AE404">
        <v>0</v>
      </c>
      <c r="AF404">
        <v>0</v>
      </c>
      <c r="AG404">
        <v>0</v>
      </c>
      <c r="AH404">
        <v>0</v>
      </c>
      <c r="AI404">
        <v>0</v>
      </c>
      <c r="AJ404">
        <v>0</v>
      </c>
      <c r="AK404">
        <v>0</v>
      </c>
      <c r="AL404">
        <v>0</v>
      </c>
      <c r="AM404">
        <v>1</v>
      </c>
      <c r="AN404">
        <v>0</v>
      </c>
      <c r="AO404">
        <v>0</v>
      </c>
      <c r="AP404">
        <v>0</v>
      </c>
      <c r="AQ404">
        <v>0</v>
      </c>
      <c r="AR404">
        <v>18</v>
      </c>
      <c r="AS404" t="s">
        <v>2587</v>
      </c>
    </row>
    <row r="405" spans="1:45" x14ac:dyDescent="0.25">
      <c r="A405">
        <v>54</v>
      </c>
      <c r="B405" t="str">
        <f>VLOOKUP(A405,'model groups'!$A$3:$C$86,2,FALSE)</f>
        <v>nearshore demersal carnivores</v>
      </c>
      <c r="C405" t="s">
        <v>1241</v>
      </c>
      <c r="D405" t="s">
        <v>1242</v>
      </c>
      <c r="E405" t="s">
        <v>1242</v>
      </c>
      <c r="G405" t="s">
        <v>195</v>
      </c>
      <c r="H405" t="s">
        <v>196</v>
      </c>
      <c r="I405" t="s">
        <v>559</v>
      </c>
      <c r="J405" t="s">
        <v>1236</v>
      </c>
      <c r="K405" t="s">
        <v>1243</v>
      </c>
      <c r="L405">
        <v>0.68501873499999999</v>
      </c>
      <c r="M405">
        <v>5.5670310205</v>
      </c>
      <c r="N405">
        <v>50.254200869999998</v>
      </c>
      <c r="O405">
        <v>3.605</v>
      </c>
      <c r="P405">
        <v>33.03</v>
      </c>
      <c r="Q405">
        <v>1.05793</v>
      </c>
      <c r="R405" t="s">
        <v>50</v>
      </c>
      <c r="S405" t="s">
        <v>109</v>
      </c>
      <c r="T405" t="str">
        <f t="shared" si="11"/>
        <v>no</v>
      </c>
      <c r="U405" s="1">
        <v>0.4364563420612993</v>
      </c>
      <c r="V405" s="1">
        <v>0.53374663737596639</v>
      </c>
      <c r="W405" s="1">
        <v>9.6990304113034366E-3</v>
      </c>
      <c r="X405" s="1">
        <v>0</v>
      </c>
      <c r="Y405" s="1">
        <v>0</v>
      </c>
      <c r="Z405" s="1">
        <v>0</v>
      </c>
      <c r="AA405" s="1">
        <v>0</v>
      </c>
      <c r="AB405" s="1">
        <v>2.0097990151430812E-2</v>
      </c>
      <c r="AC405">
        <v>1</v>
      </c>
      <c r="AD405">
        <v>0</v>
      </c>
      <c r="AE405">
        <v>0</v>
      </c>
      <c r="AF405">
        <v>0</v>
      </c>
      <c r="AG405">
        <v>0</v>
      </c>
      <c r="AH405">
        <v>0</v>
      </c>
      <c r="AI405">
        <v>0</v>
      </c>
      <c r="AJ405">
        <v>0</v>
      </c>
      <c r="AK405">
        <v>0</v>
      </c>
      <c r="AL405">
        <v>0</v>
      </c>
      <c r="AM405">
        <v>1</v>
      </c>
      <c r="AN405">
        <v>0</v>
      </c>
      <c r="AO405">
        <v>0</v>
      </c>
      <c r="AP405">
        <v>0</v>
      </c>
      <c r="AQ405">
        <v>0</v>
      </c>
      <c r="AR405">
        <v>18</v>
      </c>
      <c r="AS405" t="s">
        <v>2587</v>
      </c>
    </row>
    <row r="406" spans="1:45" x14ac:dyDescent="0.25">
      <c r="A406">
        <v>54</v>
      </c>
      <c r="B406" t="str">
        <f>VLOOKUP(A406,'model groups'!$A$3:$C$86,2,FALSE)</f>
        <v>nearshore demersal carnivores</v>
      </c>
      <c r="C406" t="s">
        <v>1244</v>
      </c>
      <c r="D406" t="s">
        <v>1245</v>
      </c>
      <c r="E406" t="s">
        <v>1245</v>
      </c>
      <c r="G406" t="s">
        <v>195</v>
      </c>
      <c r="H406" t="s">
        <v>196</v>
      </c>
      <c r="I406" t="s">
        <v>559</v>
      </c>
      <c r="J406" t="s">
        <v>1236</v>
      </c>
      <c r="K406" t="s">
        <v>1246</v>
      </c>
      <c r="L406">
        <v>0.70654144799999996</v>
      </c>
      <c r="M406">
        <v>6.2651031975000002</v>
      </c>
      <c r="N406">
        <v>47.898287029999999</v>
      </c>
      <c r="O406">
        <v>3.51</v>
      </c>
      <c r="P406">
        <v>26.05</v>
      </c>
      <c r="Q406">
        <v>1.28396</v>
      </c>
      <c r="R406" t="s">
        <v>50</v>
      </c>
      <c r="S406" t="s">
        <v>109</v>
      </c>
      <c r="T406" t="str">
        <f t="shared" si="11"/>
        <v>no</v>
      </c>
      <c r="U406" s="1">
        <v>0.16450000041125001</v>
      </c>
      <c r="V406" s="1">
        <v>0.72031000110077503</v>
      </c>
      <c r="W406" s="1">
        <v>3.5300000188250004E-2</v>
      </c>
      <c r="X406" s="1">
        <v>0</v>
      </c>
      <c r="Y406" s="1">
        <v>0</v>
      </c>
      <c r="Z406" s="1">
        <v>0</v>
      </c>
      <c r="AA406" s="1">
        <v>7.7589998333975008E-2</v>
      </c>
      <c r="AB406" s="1">
        <v>2.29999996575E-3</v>
      </c>
      <c r="AC406">
        <v>1</v>
      </c>
      <c r="AD406">
        <v>0</v>
      </c>
      <c r="AE406">
        <v>0</v>
      </c>
      <c r="AF406">
        <v>0</v>
      </c>
      <c r="AG406">
        <v>0</v>
      </c>
      <c r="AH406">
        <v>0</v>
      </c>
      <c r="AI406">
        <v>0</v>
      </c>
      <c r="AJ406">
        <v>0</v>
      </c>
      <c r="AK406">
        <v>0</v>
      </c>
      <c r="AL406">
        <v>0</v>
      </c>
      <c r="AM406">
        <v>1</v>
      </c>
      <c r="AN406">
        <v>0</v>
      </c>
      <c r="AO406">
        <v>0</v>
      </c>
      <c r="AP406">
        <v>0</v>
      </c>
      <c r="AQ406">
        <v>0</v>
      </c>
      <c r="AR406">
        <v>18</v>
      </c>
      <c r="AS406" t="s">
        <v>2587</v>
      </c>
    </row>
    <row r="407" spans="1:45" x14ac:dyDescent="0.25">
      <c r="A407">
        <v>54</v>
      </c>
      <c r="B407" t="str">
        <f>VLOOKUP(A407,'model groups'!$A$3:$C$86,2,FALSE)</f>
        <v>nearshore demersal carnivores</v>
      </c>
      <c r="C407" t="s">
        <v>1247</v>
      </c>
      <c r="D407" t="s">
        <v>1248</v>
      </c>
      <c r="E407" t="s">
        <v>1248</v>
      </c>
      <c r="G407" t="s">
        <v>195</v>
      </c>
      <c r="H407" t="s">
        <v>196</v>
      </c>
      <c r="I407" t="s">
        <v>559</v>
      </c>
      <c r="J407" t="s">
        <v>1249</v>
      </c>
      <c r="K407" t="s">
        <v>1250</v>
      </c>
      <c r="L407">
        <v>0.73027014300000004</v>
      </c>
      <c r="M407">
        <v>5.0575718539999999</v>
      </c>
      <c r="N407">
        <v>57.107207330000001</v>
      </c>
      <c r="O407">
        <v>3.6549999999999998</v>
      </c>
      <c r="P407">
        <v>34.090000000000003</v>
      </c>
      <c r="Q407">
        <v>1.2581500000000001</v>
      </c>
      <c r="R407" t="s">
        <v>50</v>
      </c>
      <c r="S407" t="s">
        <v>109</v>
      </c>
      <c r="T407" t="str">
        <f t="shared" si="11"/>
        <v>no</v>
      </c>
      <c r="U407">
        <v>8.3650523242198502E-2</v>
      </c>
      <c r="V407">
        <v>0.177438609256445</v>
      </c>
      <c r="W407">
        <v>7.0625440112560096E-3</v>
      </c>
      <c r="X407">
        <v>9.4875594548928903E-3</v>
      </c>
      <c r="Y407">
        <v>0</v>
      </c>
      <c r="Z407">
        <v>0</v>
      </c>
      <c r="AA407">
        <v>0.418546365209018</v>
      </c>
      <c r="AB407">
        <v>0.30381439882618899</v>
      </c>
      <c r="AC407">
        <v>1</v>
      </c>
      <c r="AD407">
        <v>0</v>
      </c>
      <c r="AE407" t="s">
        <v>231</v>
      </c>
      <c r="AF407" t="s">
        <v>231</v>
      </c>
      <c r="AG407">
        <v>0</v>
      </c>
      <c r="AH407">
        <v>0</v>
      </c>
      <c r="AI407">
        <v>0</v>
      </c>
      <c r="AJ407">
        <v>0</v>
      </c>
      <c r="AK407">
        <v>0</v>
      </c>
      <c r="AL407">
        <v>0</v>
      </c>
      <c r="AM407">
        <v>0</v>
      </c>
      <c r="AN407">
        <v>0</v>
      </c>
      <c r="AO407">
        <v>0</v>
      </c>
      <c r="AP407">
        <v>0</v>
      </c>
      <c r="AQ407">
        <v>1</v>
      </c>
      <c r="AR407">
        <v>18</v>
      </c>
      <c r="AS407" t="s">
        <v>2587</v>
      </c>
    </row>
    <row r="408" spans="1:45" x14ac:dyDescent="0.25">
      <c r="A408">
        <v>54</v>
      </c>
      <c r="B408" t="str">
        <f>VLOOKUP(A408,'model groups'!$A$3:$C$86,2,FALSE)</f>
        <v>nearshore demersal carnivores</v>
      </c>
      <c r="C408" t="s">
        <v>1251</v>
      </c>
      <c r="D408" t="s">
        <v>1252</v>
      </c>
      <c r="E408" t="s">
        <v>1252</v>
      </c>
      <c r="G408" t="s">
        <v>195</v>
      </c>
      <c r="H408" t="s">
        <v>196</v>
      </c>
      <c r="I408" t="s">
        <v>559</v>
      </c>
      <c r="J408" t="s">
        <v>1253</v>
      </c>
      <c r="K408" t="s">
        <v>1254</v>
      </c>
      <c r="L408">
        <v>5.7000000000000002E-2</v>
      </c>
      <c r="M408">
        <v>3.1356594279999999</v>
      </c>
      <c r="N408">
        <v>110</v>
      </c>
      <c r="O408">
        <v>3.58</v>
      </c>
      <c r="P408">
        <v>59.82</v>
      </c>
      <c r="Q408">
        <v>1.2473099999999999</v>
      </c>
      <c r="R408" t="s">
        <v>50</v>
      </c>
      <c r="S408" t="s">
        <v>109</v>
      </c>
      <c r="T408" t="str">
        <f t="shared" si="11"/>
        <v>no</v>
      </c>
      <c r="U408" s="1">
        <v>0</v>
      </c>
      <c r="V408" s="1">
        <v>0.56799999961439995</v>
      </c>
      <c r="W408" s="1">
        <v>0</v>
      </c>
      <c r="X408" s="1">
        <v>0</v>
      </c>
      <c r="Y408" s="1">
        <v>0</v>
      </c>
      <c r="Z408" s="1">
        <v>0</v>
      </c>
      <c r="AA408" s="1">
        <v>0.43200000038559999</v>
      </c>
      <c r="AB408" s="1">
        <v>0</v>
      </c>
      <c r="AC408">
        <v>1</v>
      </c>
      <c r="AD408">
        <v>0</v>
      </c>
      <c r="AE408">
        <v>0</v>
      </c>
      <c r="AF408">
        <v>0</v>
      </c>
      <c r="AG408">
        <v>0</v>
      </c>
      <c r="AH408">
        <v>1</v>
      </c>
      <c r="AI408">
        <v>0</v>
      </c>
      <c r="AJ408">
        <v>0</v>
      </c>
      <c r="AK408">
        <v>0</v>
      </c>
      <c r="AL408">
        <v>0</v>
      </c>
      <c r="AM408">
        <v>0</v>
      </c>
      <c r="AN408">
        <v>0</v>
      </c>
      <c r="AO408">
        <v>0</v>
      </c>
      <c r="AP408">
        <v>0</v>
      </c>
      <c r="AQ408">
        <v>1</v>
      </c>
      <c r="AR408">
        <v>18</v>
      </c>
      <c r="AS408" t="s">
        <v>2587</v>
      </c>
    </row>
    <row r="409" spans="1:45" x14ac:dyDescent="0.25">
      <c r="A409">
        <v>54</v>
      </c>
      <c r="B409" t="str">
        <f>VLOOKUP(A409,'model groups'!$A$3:$C$86,2,FALSE)</f>
        <v>nearshore demersal carnivores</v>
      </c>
      <c r="C409" t="s">
        <v>1255</v>
      </c>
      <c r="D409" t="s">
        <v>1256</v>
      </c>
      <c r="E409" t="s">
        <v>1256</v>
      </c>
      <c r="G409" t="s">
        <v>195</v>
      </c>
      <c r="H409" t="s">
        <v>196</v>
      </c>
      <c r="I409" t="s">
        <v>559</v>
      </c>
      <c r="J409" t="s">
        <v>1257</v>
      </c>
      <c r="K409" t="s">
        <v>1258</v>
      </c>
      <c r="L409">
        <v>0.71596511500000004</v>
      </c>
      <c r="M409">
        <v>4.1336101264999998</v>
      </c>
      <c r="N409">
        <v>95.7</v>
      </c>
      <c r="O409">
        <v>3.9049999999999998</v>
      </c>
      <c r="P409">
        <v>42.92</v>
      </c>
      <c r="Q409">
        <v>1.48766</v>
      </c>
      <c r="R409" t="s">
        <v>50</v>
      </c>
      <c r="S409" t="s">
        <v>109</v>
      </c>
      <c r="T409" t="str">
        <f t="shared" si="11"/>
        <v>no</v>
      </c>
      <c r="U409" s="1">
        <v>0.17680623099968099</v>
      </c>
      <c r="V409" s="1">
        <v>0.13139023888167103</v>
      </c>
      <c r="W409" s="1">
        <v>0</v>
      </c>
      <c r="X409" s="1">
        <v>0</v>
      </c>
      <c r="Y409" s="1">
        <v>0</v>
      </c>
      <c r="Z409" s="1">
        <v>0</v>
      </c>
      <c r="AA409" s="1">
        <v>4.8885804833111987E-2</v>
      </c>
      <c r="AB409" s="1">
        <v>0.64291772528553603</v>
      </c>
      <c r="AC409">
        <v>1</v>
      </c>
      <c r="AD409">
        <v>0</v>
      </c>
      <c r="AE409">
        <v>0</v>
      </c>
      <c r="AF409">
        <v>0</v>
      </c>
      <c r="AG409">
        <v>0</v>
      </c>
      <c r="AH409">
        <v>1</v>
      </c>
      <c r="AI409">
        <v>0</v>
      </c>
      <c r="AJ409">
        <v>0</v>
      </c>
      <c r="AK409">
        <v>0</v>
      </c>
      <c r="AL409">
        <v>0</v>
      </c>
      <c r="AM409">
        <v>0</v>
      </c>
      <c r="AN409">
        <v>0</v>
      </c>
      <c r="AO409">
        <v>1</v>
      </c>
      <c r="AP409">
        <v>0</v>
      </c>
      <c r="AQ409">
        <v>1</v>
      </c>
      <c r="AR409">
        <v>18</v>
      </c>
      <c r="AS409" t="s">
        <v>2587</v>
      </c>
    </row>
    <row r="410" spans="1:45" x14ac:dyDescent="0.25">
      <c r="A410">
        <v>54</v>
      </c>
      <c r="B410" t="str">
        <f>VLOOKUP(A410,'model groups'!$A$3:$C$86,2,FALSE)</f>
        <v>nearshore demersal carnivores</v>
      </c>
      <c r="C410" t="s">
        <v>1259</v>
      </c>
      <c r="D410" t="s">
        <v>1260</v>
      </c>
      <c r="E410" t="s">
        <v>1260</v>
      </c>
      <c r="G410" t="s">
        <v>195</v>
      </c>
      <c r="H410" t="s">
        <v>1126</v>
      </c>
      <c r="I410" t="s">
        <v>1127</v>
      </c>
      <c r="J410" t="s">
        <v>1134</v>
      </c>
      <c r="K410" t="s">
        <v>1261</v>
      </c>
      <c r="L410">
        <v>1.2675187349999999</v>
      </c>
      <c r="N410">
        <v>19.336511130000002</v>
      </c>
      <c r="O410">
        <v>3.29</v>
      </c>
      <c r="P410">
        <v>17.11</v>
      </c>
      <c r="R410" t="s">
        <v>50</v>
      </c>
      <c r="S410" t="s">
        <v>109</v>
      </c>
      <c r="T410" t="str">
        <f t="shared" si="11"/>
        <v>no</v>
      </c>
      <c r="U410" s="1">
        <v>0</v>
      </c>
      <c r="V410" s="1">
        <v>0.81836367109868458</v>
      </c>
      <c r="W410" s="1">
        <v>0</v>
      </c>
      <c r="X410" s="1">
        <v>0</v>
      </c>
      <c r="Y410" s="1">
        <v>0</v>
      </c>
      <c r="Z410" s="1">
        <v>3.2006400085838349E-3</v>
      </c>
      <c r="AA410" s="1">
        <v>3.0006001937094746E-3</v>
      </c>
      <c r="AB410" s="1">
        <v>0.17543508869902202</v>
      </c>
      <c r="AC410">
        <v>0</v>
      </c>
      <c r="AD410">
        <v>0</v>
      </c>
      <c r="AE410">
        <v>1</v>
      </c>
      <c r="AF410">
        <v>0</v>
      </c>
      <c r="AG410">
        <v>0</v>
      </c>
      <c r="AH410">
        <v>0</v>
      </c>
      <c r="AI410">
        <v>0</v>
      </c>
      <c r="AJ410">
        <v>0</v>
      </c>
      <c r="AK410">
        <v>0</v>
      </c>
      <c r="AL410">
        <v>1</v>
      </c>
      <c r="AM410">
        <v>0</v>
      </c>
      <c r="AN410">
        <v>0</v>
      </c>
      <c r="AO410">
        <v>0</v>
      </c>
      <c r="AP410">
        <v>0</v>
      </c>
      <c r="AQ410">
        <v>0</v>
      </c>
      <c r="AR410">
        <v>18</v>
      </c>
      <c r="AS410" t="s">
        <v>2587</v>
      </c>
    </row>
    <row r="411" spans="1:45" x14ac:dyDescent="0.25">
      <c r="A411">
        <v>54</v>
      </c>
      <c r="B411" t="str">
        <f>VLOOKUP(A411,'model groups'!$A$3:$C$86,2,FALSE)</f>
        <v>nearshore demersal carnivores</v>
      </c>
      <c r="C411" t="s">
        <v>1262</v>
      </c>
      <c r="D411" t="s">
        <v>1263</v>
      </c>
      <c r="E411" t="s">
        <v>1263</v>
      </c>
      <c r="G411" t="s">
        <v>241</v>
      </c>
      <c r="H411" t="s">
        <v>466</v>
      </c>
      <c r="I411" t="s">
        <v>1127</v>
      </c>
      <c r="J411" t="s">
        <v>1134</v>
      </c>
      <c r="AR411">
        <v>18</v>
      </c>
      <c r="AS411" t="s">
        <v>2587</v>
      </c>
    </row>
    <row r="412" spans="1:45" x14ac:dyDescent="0.25">
      <c r="A412">
        <v>54</v>
      </c>
      <c r="B412" t="str">
        <f>VLOOKUP(A412,'model groups'!$A$3:$C$86,2,FALSE)</f>
        <v>nearshore demersal carnivores</v>
      </c>
      <c r="C412" t="s">
        <v>1264</v>
      </c>
      <c r="D412" t="s">
        <v>1265</v>
      </c>
      <c r="E412" t="s">
        <v>1265</v>
      </c>
      <c r="G412" t="s">
        <v>195</v>
      </c>
      <c r="H412" t="s">
        <v>1138</v>
      </c>
      <c r="I412" t="s">
        <v>1139</v>
      </c>
      <c r="J412" t="s">
        <v>1149</v>
      </c>
      <c r="K412" t="s">
        <v>1266</v>
      </c>
      <c r="L412">
        <v>0.68501873499999999</v>
      </c>
      <c r="M412">
        <v>7.1875441045000006</v>
      </c>
      <c r="N412">
        <v>50.254200869999998</v>
      </c>
      <c r="O412">
        <v>4.403333333</v>
      </c>
      <c r="P412">
        <v>38.26</v>
      </c>
      <c r="Q412">
        <v>1.8828100000000001</v>
      </c>
      <c r="R412" t="s">
        <v>50</v>
      </c>
      <c r="S412" t="s">
        <v>77</v>
      </c>
      <c r="T412" t="str">
        <f>IF(OR(AK412=1,AN412=1),"reef","no")</f>
        <v>no</v>
      </c>
      <c r="U412" s="1">
        <v>0.80607096058953109</v>
      </c>
      <c r="V412" s="1">
        <v>4.6346826147599947E-2</v>
      </c>
      <c r="W412" s="1">
        <v>0</v>
      </c>
      <c r="X412" s="1">
        <v>0</v>
      </c>
      <c r="Y412" s="1">
        <v>0.14758221326286902</v>
      </c>
      <c r="Z412" s="1">
        <v>0</v>
      </c>
      <c r="AA412" s="1">
        <v>0</v>
      </c>
      <c r="AB412" s="1">
        <v>0</v>
      </c>
      <c r="AC412">
        <v>1</v>
      </c>
      <c r="AD412">
        <v>0</v>
      </c>
      <c r="AE412">
        <v>1</v>
      </c>
      <c r="AF412">
        <v>0</v>
      </c>
      <c r="AG412">
        <v>1</v>
      </c>
      <c r="AH412">
        <v>0</v>
      </c>
      <c r="AI412">
        <v>0</v>
      </c>
      <c r="AJ412">
        <v>0</v>
      </c>
      <c r="AK412">
        <v>0</v>
      </c>
      <c r="AL412">
        <v>0</v>
      </c>
      <c r="AM412">
        <v>1</v>
      </c>
      <c r="AN412">
        <v>0</v>
      </c>
      <c r="AO412">
        <v>1</v>
      </c>
      <c r="AP412">
        <v>0</v>
      </c>
      <c r="AQ412">
        <v>0</v>
      </c>
      <c r="AR412">
        <v>18</v>
      </c>
      <c r="AS412" t="s">
        <v>2587</v>
      </c>
    </row>
    <row r="413" spans="1:45" x14ac:dyDescent="0.25">
      <c r="A413">
        <v>54</v>
      </c>
      <c r="B413" t="str">
        <f>VLOOKUP(A413,'model groups'!$A$3:$C$86,2,FALSE)</f>
        <v>nearshore demersal carnivores</v>
      </c>
      <c r="C413" t="s">
        <v>1267</v>
      </c>
      <c r="D413" t="s">
        <v>1268</v>
      </c>
      <c r="E413" t="s">
        <v>1268</v>
      </c>
      <c r="G413" t="s">
        <v>195</v>
      </c>
      <c r="H413" t="s">
        <v>1138</v>
      </c>
      <c r="I413" t="s">
        <v>1139</v>
      </c>
      <c r="J413" t="s">
        <v>1149</v>
      </c>
      <c r="T413" t="str">
        <f>IF(OR(AK413=1,AN413=1),"reef","no")</f>
        <v>no</v>
      </c>
      <c r="U413" s="1"/>
      <c r="V413" s="1"/>
      <c r="W413" s="1"/>
      <c r="X413" s="1"/>
      <c r="Y413" s="1"/>
      <c r="Z413" s="1"/>
      <c r="AA413" s="1"/>
      <c r="AB413" s="1"/>
      <c r="AG413">
        <v>1</v>
      </c>
      <c r="AH413">
        <v>0</v>
      </c>
      <c r="AI413">
        <v>0</v>
      </c>
      <c r="AJ413">
        <v>0</v>
      </c>
      <c r="AK413">
        <v>0</v>
      </c>
      <c r="AL413">
        <v>0</v>
      </c>
      <c r="AM413">
        <v>0</v>
      </c>
      <c r="AN413">
        <v>0</v>
      </c>
      <c r="AO413">
        <v>0</v>
      </c>
      <c r="AP413">
        <v>0</v>
      </c>
      <c r="AQ413">
        <v>0</v>
      </c>
      <c r="AR413">
        <v>18</v>
      </c>
      <c r="AS413" t="s">
        <v>2587</v>
      </c>
    </row>
    <row r="414" spans="1:45" x14ac:dyDescent="0.25">
      <c r="A414">
        <v>54</v>
      </c>
      <c r="B414" t="str">
        <f>VLOOKUP(A414,'model groups'!$A$3:$C$86,2,FALSE)</f>
        <v>nearshore demersal carnivores</v>
      </c>
      <c r="D414" t="s">
        <v>1269</v>
      </c>
      <c r="E414" t="s">
        <v>1269</v>
      </c>
      <c r="G414" t="s">
        <v>195</v>
      </c>
      <c r="H414" t="s">
        <v>1138</v>
      </c>
      <c r="I414" t="s">
        <v>1139</v>
      </c>
      <c r="J414" t="s">
        <v>1149</v>
      </c>
      <c r="T414" t="str">
        <f>IF(OR(AK414=1,AN414=1),"reef","no")</f>
        <v>no</v>
      </c>
      <c r="U414" s="1"/>
      <c r="V414" s="1"/>
      <c r="W414" s="1"/>
      <c r="X414" s="1"/>
      <c r="Y414" s="1"/>
      <c r="Z414" s="1"/>
      <c r="AA414" s="1"/>
      <c r="AB414" s="1"/>
      <c r="AG414">
        <v>1</v>
      </c>
      <c r="AH414">
        <v>0</v>
      </c>
      <c r="AI414">
        <v>0</v>
      </c>
      <c r="AJ414">
        <v>0</v>
      </c>
      <c r="AK414">
        <v>0</v>
      </c>
      <c r="AL414">
        <v>0</v>
      </c>
      <c r="AM414">
        <v>0</v>
      </c>
      <c r="AN414">
        <v>0</v>
      </c>
      <c r="AO414">
        <v>0</v>
      </c>
      <c r="AP414">
        <v>0</v>
      </c>
      <c r="AQ414">
        <v>0</v>
      </c>
      <c r="AR414">
        <v>18</v>
      </c>
      <c r="AS414" t="s">
        <v>2587</v>
      </c>
    </row>
    <row r="415" spans="1:45" x14ac:dyDescent="0.25">
      <c r="A415">
        <v>54</v>
      </c>
      <c r="B415" t="str">
        <f>VLOOKUP(A415,'model groups'!$A$3:$C$86,2,FALSE)</f>
        <v>nearshore demersal carnivores</v>
      </c>
      <c r="C415" t="s">
        <v>1270</v>
      </c>
      <c r="D415" t="s">
        <v>1271</v>
      </c>
      <c r="E415" t="s">
        <v>1271</v>
      </c>
      <c r="G415" t="s">
        <v>241</v>
      </c>
      <c r="H415" t="s">
        <v>1138</v>
      </c>
      <c r="I415" t="s">
        <v>1139</v>
      </c>
      <c r="J415" t="s">
        <v>1149</v>
      </c>
      <c r="AR415">
        <v>18</v>
      </c>
      <c r="AS415" t="s">
        <v>2587</v>
      </c>
    </row>
    <row r="416" spans="1:45" x14ac:dyDescent="0.25">
      <c r="A416">
        <v>54</v>
      </c>
      <c r="B416" t="str">
        <f>VLOOKUP(A416,'model groups'!$A$3:$C$86,2,FALSE)</f>
        <v>nearshore demersal carnivores</v>
      </c>
      <c r="D416" t="s">
        <v>1272</v>
      </c>
      <c r="E416" t="s">
        <v>1273</v>
      </c>
      <c r="G416" t="s">
        <v>195</v>
      </c>
      <c r="H416" t="s">
        <v>1138</v>
      </c>
      <c r="I416" t="s">
        <v>1139</v>
      </c>
      <c r="T416" t="str">
        <f t="shared" ref="T416:T422" si="12">IF(OR(AK416=1,AN416=1),"reef","no")</f>
        <v>reef</v>
      </c>
      <c r="U416" s="1"/>
      <c r="V416" s="1"/>
      <c r="W416" s="1"/>
      <c r="X416" s="1"/>
      <c r="Y416" s="1"/>
      <c r="Z416" s="1"/>
      <c r="AA416" s="1"/>
      <c r="AB416" s="1"/>
      <c r="AG416">
        <v>0</v>
      </c>
      <c r="AH416">
        <v>0</v>
      </c>
      <c r="AI416">
        <v>0</v>
      </c>
      <c r="AJ416">
        <v>0</v>
      </c>
      <c r="AK416">
        <v>1</v>
      </c>
      <c r="AL416">
        <v>0</v>
      </c>
      <c r="AM416">
        <v>0</v>
      </c>
      <c r="AN416">
        <v>0</v>
      </c>
      <c r="AO416">
        <v>0</v>
      </c>
      <c r="AP416">
        <v>0</v>
      </c>
      <c r="AQ416">
        <v>0</v>
      </c>
      <c r="AR416">
        <v>18</v>
      </c>
      <c r="AS416" t="s">
        <v>2587</v>
      </c>
    </row>
    <row r="417" spans="1:45" x14ac:dyDescent="0.25">
      <c r="A417">
        <v>54</v>
      </c>
      <c r="B417" t="str">
        <f>VLOOKUP(A417,'model groups'!$A$3:$C$86,2,FALSE)</f>
        <v>nearshore demersal carnivores</v>
      </c>
      <c r="C417" t="s">
        <v>1274</v>
      </c>
      <c r="D417" t="s">
        <v>1275</v>
      </c>
      <c r="E417" t="s">
        <v>1275</v>
      </c>
      <c r="G417" t="s">
        <v>195</v>
      </c>
      <c r="H417" t="s">
        <v>413</v>
      </c>
      <c r="I417" t="s">
        <v>1167</v>
      </c>
      <c r="J417" t="s">
        <v>1276</v>
      </c>
      <c r="K417" t="s">
        <v>1277</v>
      </c>
      <c r="L417">
        <v>1.614048717</v>
      </c>
      <c r="N417">
        <v>13.28829142</v>
      </c>
      <c r="P417">
        <v>21.88</v>
      </c>
      <c r="R417" t="s">
        <v>50</v>
      </c>
      <c r="S417" t="s">
        <v>109</v>
      </c>
      <c r="T417" t="str">
        <f t="shared" si="12"/>
        <v>no</v>
      </c>
      <c r="U417" s="1"/>
      <c r="V417" s="1"/>
      <c r="W417" s="1"/>
      <c r="X417" s="1"/>
      <c r="Y417" s="1"/>
      <c r="Z417" s="1"/>
      <c r="AA417" s="1"/>
      <c r="AB417" s="1"/>
      <c r="AG417">
        <v>1</v>
      </c>
      <c r="AH417">
        <v>0</v>
      </c>
      <c r="AI417">
        <v>0</v>
      </c>
      <c r="AJ417">
        <v>0</v>
      </c>
      <c r="AK417">
        <v>0</v>
      </c>
      <c r="AL417">
        <v>0</v>
      </c>
      <c r="AM417">
        <v>0</v>
      </c>
      <c r="AN417">
        <v>0</v>
      </c>
      <c r="AO417">
        <v>0</v>
      </c>
      <c r="AP417">
        <v>0</v>
      </c>
      <c r="AQ417">
        <v>0</v>
      </c>
      <c r="AR417">
        <v>18</v>
      </c>
      <c r="AS417" t="s">
        <v>2587</v>
      </c>
    </row>
    <row r="418" spans="1:45" x14ac:dyDescent="0.25">
      <c r="A418">
        <v>54</v>
      </c>
      <c r="B418" t="str">
        <f>VLOOKUP(A418,'model groups'!$A$3:$C$86,2,FALSE)</f>
        <v>nearshore demersal carnivores</v>
      </c>
      <c r="C418" t="s">
        <v>1278</v>
      </c>
      <c r="D418" t="s">
        <v>1279</v>
      </c>
      <c r="E418" t="s">
        <v>1279</v>
      </c>
      <c r="G418" t="s">
        <v>195</v>
      </c>
      <c r="H418" t="s">
        <v>413</v>
      </c>
      <c r="I418" t="s">
        <v>1167</v>
      </c>
      <c r="J418" t="s">
        <v>1168</v>
      </c>
      <c r="K418" t="s">
        <v>1280</v>
      </c>
      <c r="L418">
        <v>1.303957196</v>
      </c>
      <c r="N418">
        <v>18.504346139999999</v>
      </c>
      <c r="O418">
        <v>3.42</v>
      </c>
      <c r="P418">
        <v>25.85</v>
      </c>
      <c r="R418" t="s">
        <v>50</v>
      </c>
      <c r="S418" t="s">
        <v>109</v>
      </c>
      <c r="T418" t="str">
        <f t="shared" si="12"/>
        <v>no</v>
      </c>
      <c r="U418" s="1">
        <v>0</v>
      </c>
      <c r="V418" s="1">
        <v>1</v>
      </c>
      <c r="W418" s="1">
        <v>0</v>
      </c>
      <c r="X418" s="1">
        <v>0</v>
      </c>
      <c r="Y418" s="1">
        <v>0</v>
      </c>
      <c r="Z418" s="1">
        <v>0</v>
      </c>
      <c r="AA418" s="1">
        <v>0</v>
      </c>
      <c r="AB418" s="1">
        <v>0</v>
      </c>
      <c r="AC418">
        <v>0</v>
      </c>
      <c r="AD418">
        <v>0</v>
      </c>
      <c r="AE418">
        <v>0</v>
      </c>
      <c r="AF418">
        <v>0</v>
      </c>
      <c r="AG418">
        <v>1</v>
      </c>
      <c r="AH418">
        <v>0</v>
      </c>
      <c r="AI418">
        <v>0</v>
      </c>
      <c r="AJ418">
        <v>0</v>
      </c>
      <c r="AK418">
        <v>0</v>
      </c>
      <c r="AL418">
        <v>0</v>
      </c>
      <c r="AM418">
        <v>0</v>
      </c>
      <c r="AN418">
        <v>0</v>
      </c>
      <c r="AO418">
        <v>0</v>
      </c>
      <c r="AP418">
        <v>0</v>
      </c>
      <c r="AQ418">
        <v>0</v>
      </c>
      <c r="AR418">
        <v>18</v>
      </c>
      <c r="AS418" t="s">
        <v>2587</v>
      </c>
    </row>
    <row r="419" spans="1:45" x14ac:dyDescent="0.25">
      <c r="A419">
        <v>54</v>
      </c>
      <c r="B419" t="str">
        <f>VLOOKUP(A419,'model groups'!$A$3:$C$86,2,FALSE)</f>
        <v>nearshore demersal carnivores</v>
      </c>
      <c r="C419" t="s">
        <v>1281</v>
      </c>
      <c r="D419" t="s">
        <v>1282</v>
      </c>
      <c r="E419" t="s">
        <v>1282</v>
      </c>
      <c r="G419" t="s">
        <v>195</v>
      </c>
      <c r="H419" t="s">
        <v>413</v>
      </c>
      <c r="I419" t="s">
        <v>1167</v>
      </c>
      <c r="J419" t="s">
        <v>1168</v>
      </c>
      <c r="K419" t="s">
        <v>1283</v>
      </c>
      <c r="L419">
        <v>1.303957196</v>
      </c>
      <c r="N419">
        <v>18.504346139999999</v>
      </c>
      <c r="O419">
        <v>3.5249999999999999</v>
      </c>
      <c r="P419">
        <v>25.85</v>
      </c>
      <c r="R419" t="s">
        <v>50</v>
      </c>
      <c r="S419" t="s">
        <v>109</v>
      </c>
      <c r="T419" t="str">
        <f t="shared" si="12"/>
        <v>no</v>
      </c>
      <c r="U419" s="1">
        <v>1.0668088813939917E-3</v>
      </c>
      <c r="V419" s="1">
        <v>0.74306574017816007</v>
      </c>
      <c r="W419" s="1">
        <v>0</v>
      </c>
      <c r="X419" s="1">
        <v>0</v>
      </c>
      <c r="Y419" s="1">
        <v>0</v>
      </c>
      <c r="Z419" s="1">
        <v>0</v>
      </c>
      <c r="AA419" s="1">
        <v>5.1540204167358564E-2</v>
      </c>
      <c r="AB419" s="1">
        <v>0.20432724677308745</v>
      </c>
      <c r="AC419">
        <v>0</v>
      </c>
      <c r="AD419">
        <v>0</v>
      </c>
      <c r="AE419">
        <v>0</v>
      </c>
      <c r="AF419">
        <v>0</v>
      </c>
      <c r="AG419">
        <v>1</v>
      </c>
      <c r="AH419">
        <v>0</v>
      </c>
      <c r="AI419">
        <v>0</v>
      </c>
      <c r="AJ419">
        <v>0</v>
      </c>
      <c r="AK419">
        <v>0</v>
      </c>
      <c r="AL419">
        <v>0</v>
      </c>
      <c r="AM419">
        <v>1</v>
      </c>
      <c r="AN419">
        <v>0</v>
      </c>
      <c r="AO419">
        <v>0</v>
      </c>
      <c r="AP419">
        <v>0</v>
      </c>
      <c r="AQ419">
        <v>0</v>
      </c>
      <c r="AR419">
        <v>18</v>
      </c>
      <c r="AS419" t="s">
        <v>2587</v>
      </c>
    </row>
    <row r="420" spans="1:45" x14ac:dyDescent="0.25">
      <c r="A420">
        <v>54</v>
      </c>
      <c r="B420" t="str">
        <f>VLOOKUP(A420,'model groups'!$A$3:$C$86,2,FALSE)</f>
        <v>nearshore demersal carnivores</v>
      </c>
      <c r="C420" t="s">
        <v>1284</v>
      </c>
      <c r="D420" t="s">
        <v>1285</v>
      </c>
      <c r="E420" t="s">
        <v>1285</v>
      </c>
      <c r="G420" t="s">
        <v>195</v>
      </c>
      <c r="H420" t="s">
        <v>413</v>
      </c>
      <c r="I420" t="s">
        <v>1167</v>
      </c>
      <c r="J420" t="s">
        <v>1168</v>
      </c>
      <c r="K420" t="s">
        <v>1286</v>
      </c>
      <c r="L420">
        <v>0.990499715</v>
      </c>
      <c r="N420">
        <v>28.35339579</v>
      </c>
      <c r="O420">
        <v>3.5249999999999999</v>
      </c>
      <c r="P420">
        <v>32.590000000000003</v>
      </c>
      <c r="R420" t="s">
        <v>50</v>
      </c>
      <c r="S420" t="s">
        <v>77</v>
      </c>
      <c r="T420" t="str">
        <f t="shared" si="12"/>
        <v>no</v>
      </c>
      <c r="U420" s="1">
        <v>1.0668088813939917E-3</v>
      </c>
      <c r="V420" s="1">
        <v>0.74306574017816007</v>
      </c>
      <c r="W420" s="1">
        <v>0</v>
      </c>
      <c r="X420" s="1">
        <v>0</v>
      </c>
      <c r="Y420" s="1">
        <v>0</v>
      </c>
      <c r="Z420" s="1">
        <v>0</v>
      </c>
      <c r="AA420" s="1">
        <v>5.1540204167358564E-2</v>
      </c>
      <c r="AB420" s="1">
        <v>0.20432724677308745</v>
      </c>
      <c r="AC420">
        <v>0</v>
      </c>
      <c r="AD420">
        <v>0</v>
      </c>
      <c r="AE420">
        <v>0</v>
      </c>
      <c r="AF420">
        <v>0</v>
      </c>
      <c r="AG420">
        <v>1</v>
      </c>
      <c r="AH420">
        <v>0</v>
      </c>
      <c r="AI420">
        <v>0</v>
      </c>
      <c r="AJ420">
        <v>0</v>
      </c>
      <c r="AK420">
        <v>0</v>
      </c>
      <c r="AL420">
        <v>0</v>
      </c>
      <c r="AM420">
        <v>1</v>
      </c>
      <c r="AN420">
        <v>0</v>
      </c>
      <c r="AO420">
        <v>0</v>
      </c>
      <c r="AP420">
        <v>0</v>
      </c>
      <c r="AQ420">
        <v>0</v>
      </c>
      <c r="AR420">
        <v>18</v>
      </c>
      <c r="AS420" t="s">
        <v>2587</v>
      </c>
    </row>
    <row r="421" spans="1:45" x14ac:dyDescent="0.25">
      <c r="A421">
        <v>54</v>
      </c>
      <c r="B421" t="str">
        <f>VLOOKUP(A421,'model groups'!$A$3:$C$86,2,FALSE)</f>
        <v>nearshore demersal carnivores</v>
      </c>
      <c r="C421" t="s">
        <v>1287</v>
      </c>
      <c r="D421" t="s">
        <v>1288</v>
      </c>
      <c r="E421" t="s">
        <v>1288</v>
      </c>
      <c r="G421" t="s">
        <v>195</v>
      </c>
      <c r="H421" t="s">
        <v>413</v>
      </c>
      <c r="I421" t="s">
        <v>1167</v>
      </c>
      <c r="J421" t="s">
        <v>1168</v>
      </c>
      <c r="K421" t="s">
        <v>1289</v>
      </c>
      <c r="L421">
        <v>1.1981004040000001</v>
      </c>
      <c r="N421">
        <v>21.10297181</v>
      </c>
      <c r="O421">
        <v>3.42</v>
      </c>
      <c r="P421">
        <v>28.13</v>
      </c>
      <c r="R421" t="s">
        <v>50</v>
      </c>
      <c r="S421" t="s">
        <v>109</v>
      </c>
      <c r="T421" t="str">
        <f t="shared" si="12"/>
        <v>no</v>
      </c>
      <c r="U421" s="1">
        <v>0</v>
      </c>
      <c r="V421" s="1">
        <v>1</v>
      </c>
      <c r="W421" s="1">
        <v>0</v>
      </c>
      <c r="X421" s="1">
        <v>0</v>
      </c>
      <c r="Y421" s="1">
        <v>0</v>
      </c>
      <c r="Z421" s="1">
        <v>0</v>
      </c>
      <c r="AA421" s="1">
        <v>0</v>
      </c>
      <c r="AB421" s="1">
        <v>0</v>
      </c>
      <c r="AC421">
        <v>0</v>
      </c>
      <c r="AD421">
        <v>0</v>
      </c>
      <c r="AE421">
        <v>0</v>
      </c>
      <c r="AF421">
        <v>0</v>
      </c>
      <c r="AG421">
        <v>1</v>
      </c>
      <c r="AH421">
        <v>0</v>
      </c>
      <c r="AI421">
        <v>0</v>
      </c>
      <c r="AJ421">
        <v>0</v>
      </c>
      <c r="AK421">
        <v>0</v>
      </c>
      <c r="AL421">
        <v>0</v>
      </c>
      <c r="AM421">
        <v>1</v>
      </c>
      <c r="AN421">
        <v>0</v>
      </c>
      <c r="AO421">
        <v>0</v>
      </c>
      <c r="AP421">
        <v>0</v>
      </c>
      <c r="AQ421">
        <v>0</v>
      </c>
      <c r="AR421">
        <v>18</v>
      </c>
      <c r="AS421" t="s">
        <v>2587</v>
      </c>
    </row>
    <row r="422" spans="1:45" x14ac:dyDescent="0.25">
      <c r="A422">
        <v>54</v>
      </c>
      <c r="B422" t="str">
        <f>VLOOKUP(A422,'model groups'!$A$3:$C$86,2,FALSE)</f>
        <v>nearshore demersal carnivores</v>
      </c>
      <c r="C422" t="s">
        <v>1290</v>
      </c>
      <c r="D422" t="s">
        <v>1291</v>
      </c>
      <c r="E422" t="s">
        <v>1291</v>
      </c>
      <c r="G422" t="s">
        <v>195</v>
      </c>
      <c r="H422" t="s">
        <v>413</v>
      </c>
      <c r="I422" t="s">
        <v>1167</v>
      </c>
      <c r="J422" t="s">
        <v>1168</v>
      </c>
      <c r="K422" t="s">
        <v>1292</v>
      </c>
      <c r="L422">
        <v>0.92649175900000003</v>
      </c>
      <c r="N422">
        <v>31.451041149999998</v>
      </c>
      <c r="O422">
        <v>3.5249999999999999</v>
      </c>
      <c r="P422">
        <v>34.1</v>
      </c>
      <c r="R422" t="s">
        <v>50</v>
      </c>
      <c r="S422" t="s">
        <v>109</v>
      </c>
      <c r="T422" t="str">
        <f t="shared" si="12"/>
        <v>no</v>
      </c>
      <c r="U422" s="1">
        <v>1.0668088813939917E-3</v>
      </c>
      <c r="V422" s="1">
        <v>0.74306574017816007</v>
      </c>
      <c r="W422" s="1">
        <v>0</v>
      </c>
      <c r="X422" s="1">
        <v>0</v>
      </c>
      <c r="Y422" s="1">
        <v>0</v>
      </c>
      <c r="Z422" s="1">
        <v>0</v>
      </c>
      <c r="AA422" s="1">
        <v>5.1540204167358564E-2</v>
      </c>
      <c r="AB422" s="1">
        <v>0.20432724677308745</v>
      </c>
      <c r="AC422">
        <v>0</v>
      </c>
      <c r="AD422">
        <v>0</v>
      </c>
      <c r="AE422">
        <v>0</v>
      </c>
      <c r="AF422">
        <v>0</v>
      </c>
      <c r="AG422">
        <v>1</v>
      </c>
      <c r="AH422">
        <v>0</v>
      </c>
      <c r="AI422">
        <v>0</v>
      </c>
      <c r="AJ422">
        <v>0</v>
      </c>
      <c r="AK422">
        <v>0</v>
      </c>
      <c r="AL422">
        <v>0</v>
      </c>
      <c r="AM422">
        <v>1</v>
      </c>
      <c r="AN422">
        <v>0</v>
      </c>
      <c r="AO422">
        <v>0</v>
      </c>
      <c r="AP422">
        <v>0</v>
      </c>
      <c r="AQ422">
        <v>0</v>
      </c>
      <c r="AR422">
        <v>18</v>
      </c>
      <c r="AS422" t="s">
        <v>2587</v>
      </c>
    </row>
    <row r="423" spans="1:45" x14ac:dyDescent="0.25">
      <c r="A423">
        <v>54</v>
      </c>
      <c r="B423" t="str">
        <f>VLOOKUP(A423,'model groups'!$A$3:$C$86,2,FALSE)</f>
        <v>nearshore demersal carnivores</v>
      </c>
      <c r="D423" t="s">
        <v>1294</v>
      </c>
      <c r="E423" t="s">
        <v>1294</v>
      </c>
      <c r="G423" t="s">
        <v>241</v>
      </c>
      <c r="H423" t="s">
        <v>196</v>
      </c>
      <c r="I423" t="s">
        <v>1167</v>
      </c>
      <c r="J423" t="s">
        <v>1168</v>
      </c>
      <c r="K423" t="s">
        <v>379</v>
      </c>
      <c r="AR423">
        <v>18</v>
      </c>
      <c r="AS423" t="s">
        <v>2587</v>
      </c>
    </row>
    <row r="424" spans="1:45" x14ac:dyDescent="0.25">
      <c r="A424">
        <v>54</v>
      </c>
      <c r="B424" t="str">
        <f>VLOOKUP(A424,'model groups'!$A$3:$C$86,2,FALSE)</f>
        <v>nearshore demersal carnivores</v>
      </c>
      <c r="C424" t="s">
        <v>1295</v>
      </c>
      <c r="D424" t="s">
        <v>1296</v>
      </c>
      <c r="E424" t="s">
        <v>1296</v>
      </c>
      <c r="G424" t="s">
        <v>241</v>
      </c>
      <c r="H424" t="s">
        <v>196</v>
      </c>
      <c r="I424" t="s">
        <v>1167</v>
      </c>
      <c r="J424" t="s">
        <v>1168</v>
      </c>
      <c r="AR424">
        <v>18</v>
      </c>
      <c r="AS424" t="s">
        <v>2587</v>
      </c>
    </row>
    <row r="425" spans="1:45" x14ac:dyDescent="0.25">
      <c r="A425">
        <v>55</v>
      </c>
      <c r="B425" t="str">
        <f>VLOOKUP(A425,'model groups'!$A$3:$C$86,2,FALSE)</f>
        <v>demersal omnivores</v>
      </c>
      <c r="C425" t="s">
        <v>71</v>
      </c>
      <c r="D425" t="s">
        <v>1297</v>
      </c>
      <c r="E425" t="s">
        <v>1297</v>
      </c>
      <c r="G425" t="s">
        <v>195</v>
      </c>
      <c r="H425" t="s">
        <v>196</v>
      </c>
      <c r="I425" t="s">
        <v>1298</v>
      </c>
      <c r="J425" t="s">
        <v>71</v>
      </c>
      <c r="K425" t="s">
        <v>1299</v>
      </c>
      <c r="L425" t="s">
        <v>71</v>
      </c>
      <c r="M425" t="s">
        <v>71</v>
      </c>
      <c r="N425" t="s">
        <v>71</v>
      </c>
      <c r="O425" t="s">
        <v>71</v>
      </c>
      <c r="P425" t="s">
        <v>71</v>
      </c>
      <c r="Q425" t="s">
        <v>71</v>
      </c>
      <c r="R425" t="s">
        <v>71</v>
      </c>
      <c r="S425" t="s">
        <v>71</v>
      </c>
      <c r="U425" t="s">
        <v>71</v>
      </c>
      <c r="V425" t="s">
        <v>71</v>
      </c>
      <c r="W425" t="s">
        <v>71</v>
      </c>
      <c r="X425" t="s">
        <v>71</v>
      </c>
      <c r="Y425" t="s">
        <v>71</v>
      </c>
      <c r="Z425" t="s">
        <v>71</v>
      </c>
      <c r="AA425" t="s">
        <v>71</v>
      </c>
      <c r="AB425" t="s">
        <v>71</v>
      </c>
      <c r="AC425" t="s">
        <v>71</v>
      </c>
      <c r="AD425" t="s">
        <v>71</v>
      </c>
      <c r="AE425" t="s">
        <v>71</v>
      </c>
      <c r="AF425" t="s">
        <v>71</v>
      </c>
      <c r="AG425">
        <v>0</v>
      </c>
      <c r="AH425">
        <v>0</v>
      </c>
      <c r="AI425">
        <v>0</v>
      </c>
      <c r="AJ425">
        <v>0</v>
      </c>
      <c r="AK425">
        <v>0</v>
      </c>
      <c r="AL425">
        <v>0</v>
      </c>
      <c r="AM425">
        <v>0</v>
      </c>
      <c r="AN425">
        <v>0</v>
      </c>
      <c r="AO425">
        <v>0</v>
      </c>
      <c r="AP425">
        <v>0</v>
      </c>
      <c r="AQ425">
        <v>1</v>
      </c>
      <c r="AR425">
        <v>18</v>
      </c>
      <c r="AS425" t="s">
        <v>2587</v>
      </c>
    </row>
    <row r="426" spans="1:45" x14ac:dyDescent="0.25">
      <c r="A426">
        <v>55</v>
      </c>
      <c r="B426" t="str">
        <f>VLOOKUP(A426,'model groups'!$A$3:$C$86,2,FALSE)</f>
        <v>demersal omnivores</v>
      </c>
      <c r="C426" t="s">
        <v>1300</v>
      </c>
      <c r="D426" t="s">
        <v>1301</v>
      </c>
      <c r="E426" t="s">
        <v>1301</v>
      </c>
      <c r="G426" t="s">
        <v>195</v>
      </c>
      <c r="H426" t="s">
        <v>196</v>
      </c>
      <c r="I426" t="s">
        <v>1298</v>
      </c>
      <c r="J426" t="s">
        <v>1302</v>
      </c>
      <c r="K426" t="s">
        <v>1303</v>
      </c>
      <c r="L426">
        <v>1.027055442</v>
      </c>
      <c r="M426">
        <v>11.780579175</v>
      </c>
      <c r="N426">
        <v>26.802554730000001</v>
      </c>
      <c r="O426">
        <v>2.9933333329999998</v>
      </c>
      <c r="P426">
        <v>31.78</v>
      </c>
      <c r="Q426">
        <v>2.1315400000000002</v>
      </c>
      <c r="R426" t="s">
        <v>50</v>
      </c>
      <c r="S426" t="s">
        <v>77</v>
      </c>
      <c r="T426" t="str">
        <f>IF(OR(AK426=1,AN426=1),"reef","no")</f>
        <v>no</v>
      </c>
      <c r="U426" s="1">
        <v>9.1539247778390041E-3</v>
      </c>
      <c r="V426" s="1">
        <v>0.37272171689427419</v>
      </c>
      <c r="W426" s="1">
        <v>0.11914372865693386</v>
      </c>
      <c r="X426" s="1">
        <v>0.12444444353250424</v>
      </c>
      <c r="Y426" s="1">
        <v>0</v>
      </c>
      <c r="Z426" s="1">
        <v>2.0387360342407894E-4</v>
      </c>
      <c r="AA426" s="1">
        <v>0.3541488263342672</v>
      </c>
      <c r="AB426" s="1">
        <v>2.0183486200757512E-2</v>
      </c>
      <c r="AC426">
        <v>0</v>
      </c>
      <c r="AD426">
        <v>0</v>
      </c>
      <c r="AE426">
        <v>1</v>
      </c>
      <c r="AF426">
        <v>1</v>
      </c>
      <c r="AG426">
        <v>1</v>
      </c>
      <c r="AH426">
        <v>0</v>
      </c>
      <c r="AI426">
        <v>0</v>
      </c>
      <c r="AJ426">
        <v>0</v>
      </c>
      <c r="AK426">
        <v>0</v>
      </c>
      <c r="AL426">
        <v>1</v>
      </c>
      <c r="AM426">
        <v>0</v>
      </c>
      <c r="AN426">
        <v>0</v>
      </c>
      <c r="AO426">
        <v>0</v>
      </c>
      <c r="AP426">
        <v>0</v>
      </c>
      <c r="AQ426">
        <v>0</v>
      </c>
      <c r="AR426">
        <v>18</v>
      </c>
      <c r="AS426" t="s">
        <v>2587</v>
      </c>
    </row>
    <row r="427" spans="1:45" x14ac:dyDescent="0.25">
      <c r="A427">
        <v>55</v>
      </c>
      <c r="B427" t="str">
        <f>VLOOKUP(A427,'model groups'!$A$3:$C$86,2,FALSE)</f>
        <v>demersal omnivores</v>
      </c>
      <c r="C427" t="s">
        <v>1304</v>
      </c>
      <c r="D427" t="s">
        <v>1305</v>
      </c>
      <c r="E427" t="s">
        <v>1305</v>
      </c>
      <c r="G427" t="s">
        <v>195</v>
      </c>
      <c r="H427" t="s">
        <v>196</v>
      </c>
      <c r="I427" t="s">
        <v>1298</v>
      </c>
      <c r="J427" t="s">
        <v>1302</v>
      </c>
      <c r="K427" t="s">
        <v>1306</v>
      </c>
      <c r="L427">
        <v>1.437842525</v>
      </c>
      <c r="M427">
        <v>14.57181364</v>
      </c>
      <c r="N427">
        <v>15.89979072</v>
      </c>
      <c r="O427">
        <v>3.26</v>
      </c>
      <c r="P427">
        <v>17.600000000000001</v>
      </c>
      <c r="Q427">
        <v>2.2475575000000001</v>
      </c>
      <c r="R427" t="s">
        <v>50</v>
      </c>
      <c r="S427" t="s">
        <v>109</v>
      </c>
      <c r="T427" t="str">
        <f>IF(OR(AK427=1,AN427=1),"reef","no")</f>
        <v>no</v>
      </c>
      <c r="U427" s="1">
        <v>3.0161582899598877E-2</v>
      </c>
      <c r="V427" s="1">
        <v>0.47341489358345518</v>
      </c>
      <c r="W427" s="1">
        <v>0.10938502898409258</v>
      </c>
      <c r="X427" s="1">
        <v>6.5220181514460948E-2</v>
      </c>
      <c r="Y427" s="1">
        <v>0</v>
      </c>
      <c r="Z427" s="1">
        <v>9.1704414596875794E-5</v>
      </c>
      <c r="AA427" s="1">
        <v>0.2792124406519304</v>
      </c>
      <c r="AB427" s="1">
        <v>4.251416795186521E-2</v>
      </c>
      <c r="AC427">
        <v>1</v>
      </c>
      <c r="AD427">
        <v>0</v>
      </c>
      <c r="AE427">
        <v>1</v>
      </c>
      <c r="AF427">
        <v>0</v>
      </c>
      <c r="AG427">
        <v>1</v>
      </c>
      <c r="AH427">
        <v>0</v>
      </c>
      <c r="AI427">
        <v>0</v>
      </c>
      <c r="AJ427">
        <v>0</v>
      </c>
      <c r="AK427">
        <v>0</v>
      </c>
      <c r="AL427">
        <v>1</v>
      </c>
      <c r="AM427">
        <v>0</v>
      </c>
      <c r="AN427">
        <v>0</v>
      </c>
      <c r="AO427">
        <v>0</v>
      </c>
      <c r="AP427">
        <v>0</v>
      </c>
      <c r="AQ427">
        <v>0</v>
      </c>
      <c r="AR427">
        <v>18</v>
      </c>
      <c r="AS427" t="s">
        <v>2587</v>
      </c>
    </row>
    <row r="428" spans="1:45" x14ac:dyDescent="0.25">
      <c r="A428">
        <v>55</v>
      </c>
      <c r="B428" t="str">
        <f>VLOOKUP(A428,'model groups'!$A$3:$C$86,2,FALSE)</f>
        <v>demersal omnivores</v>
      </c>
      <c r="D428" t="s">
        <v>1307</v>
      </c>
      <c r="E428" t="s">
        <v>1308</v>
      </c>
      <c r="G428" t="s">
        <v>195</v>
      </c>
      <c r="H428" t="s">
        <v>1309</v>
      </c>
      <c r="I428" t="s">
        <v>1298</v>
      </c>
      <c r="J428" t="s">
        <v>1302</v>
      </c>
      <c r="T428" t="str">
        <f>IF(OR(AK428=1,AN428=1),"reef","no")</f>
        <v>no</v>
      </c>
      <c r="U428" s="1"/>
      <c r="V428" s="1"/>
      <c r="W428" s="1"/>
      <c r="X428" s="1"/>
      <c r="Y428" s="1"/>
      <c r="Z428" s="1"/>
      <c r="AA428" s="1"/>
      <c r="AB428" s="1"/>
      <c r="AG428">
        <v>0</v>
      </c>
      <c r="AH428">
        <v>0</v>
      </c>
      <c r="AI428">
        <v>0</v>
      </c>
      <c r="AJ428">
        <v>0</v>
      </c>
      <c r="AK428">
        <v>0</v>
      </c>
      <c r="AL428">
        <v>1</v>
      </c>
      <c r="AM428">
        <v>1</v>
      </c>
      <c r="AN428">
        <v>0</v>
      </c>
      <c r="AO428">
        <v>0</v>
      </c>
      <c r="AP428">
        <v>0</v>
      </c>
      <c r="AQ428">
        <v>0</v>
      </c>
      <c r="AR428">
        <v>18</v>
      </c>
      <c r="AS428" t="s">
        <v>2587</v>
      </c>
    </row>
    <row r="429" spans="1:45" x14ac:dyDescent="0.25">
      <c r="A429">
        <v>55</v>
      </c>
      <c r="B429" t="str">
        <f>VLOOKUP(A429,'model groups'!$A$3:$C$86,2,FALSE)</f>
        <v>demersal omnivores</v>
      </c>
      <c r="C429" t="s">
        <v>1310</v>
      </c>
      <c r="D429" t="s">
        <v>1311</v>
      </c>
      <c r="E429" t="s">
        <v>1311</v>
      </c>
      <c r="G429" t="s">
        <v>241</v>
      </c>
      <c r="H429" t="s">
        <v>1309</v>
      </c>
      <c r="I429" t="s">
        <v>1298</v>
      </c>
      <c r="J429" t="s">
        <v>1302</v>
      </c>
      <c r="AR429">
        <v>18</v>
      </c>
      <c r="AS429" t="s">
        <v>2587</v>
      </c>
    </row>
    <row r="430" spans="1:45" x14ac:dyDescent="0.25">
      <c r="A430">
        <v>55</v>
      </c>
      <c r="B430" t="str">
        <f>VLOOKUP(A430,'model groups'!$A$3:$C$86,2,FALSE)</f>
        <v>demersal omnivores</v>
      </c>
      <c r="C430" t="s">
        <v>1312</v>
      </c>
      <c r="D430" t="s">
        <v>1313</v>
      </c>
      <c r="E430" t="s">
        <v>1313</v>
      </c>
      <c r="G430" t="s">
        <v>241</v>
      </c>
      <c r="H430" t="s">
        <v>1309</v>
      </c>
      <c r="I430" t="s">
        <v>1298</v>
      </c>
      <c r="J430" t="s">
        <v>1302</v>
      </c>
      <c r="AR430">
        <v>18</v>
      </c>
      <c r="AS430" t="s">
        <v>2587</v>
      </c>
    </row>
    <row r="431" spans="1:45" x14ac:dyDescent="0.25">
      <c r="A431">
        <v>55</v>
      </c>
      <c r="B431" t="str">
        <f>VLOOKUP(A431,'model groups'!$A$3:$C$86,2,FALSE)</f>
        <v>demersal omnivores</v>
      </c>
      <c r="D431" t="s">
        <v>1314</v>
      </c>
      <c r="E431" t="s">
        <v>1314</v>
      </c>
      <c r="G431" t="s">
        <v>241</v>
      </c>
      <c r="H431" t="s">
        <v>1309</v>
      </c>
      <c r="I431" t="s">
        <v>1298</v>
      </c>
      <c r="J431" t="s">
        <v>1315</v>
      </c>
      <c r="K431" t="s">
        <v>1316</v>
      </c>
      <c r="AR431">
        <v>18</v>
      </c>
      <c r="AS431" t="s">
        <v>2587</v>
      </c>
    </row>
    <row r="432" spans="1:45" x14ac:dyDescent="0.25">
      <c r="A432">
        <v>55</v>
      </c>
      <c r="B432" t="str">
        <f>VLOOKUP(A432,'model groups'!$A$3:$C$86,2,FALSE)</f>
        <v>demersal omnivores</v>
      </c>
      <c r="C432" t="s">
        <v>1317</v>
      </c>
      <c r="D432" t="s">
        <v>1318</v>
      </c>
      <c r="E432" t="s">
        <v>1318</v>
      </c>
      <c r="G432" t="s">
        <v>241</v>
      </c>
      <c r="H432" t="s">
        <v>1319</v>
      </c>
      <c r="I432" t="s">
        <v>1320</v>
      </c>
      <c r="J432" t="s">
        <v>1321</v>
      </c>
      <c r="AR432">
        <v>18</v>
      </c>
      <c r="AS432" t="s">
        <v>2587</v>
      </c>
    </row>
    <row r="433" spans="1:45" x14ac:dyDescent="0.25">
      <c r="A433">
        <v>55</v>
      </c>
      <c r="B433" t="str">
        <f>VLOOKUP(A433,'model groups'!$A$3:$C$86,2,FALSE)</f>
        <v>demersal omnivores</v>
      </c>
      <c r="C433" t="s">
        <v>1322</v>
      </c>
      <c r="D433" t="s">
        <v>1323</v>
      </c>
      <c r="E433" t="s">
        <v>1323</v>
      </c>
      <c r="G433" t="s">
        <v>241</v>
      </c>
      <c r="H433" t="s">
        <v>802</v>
      </c>
      <c r="I433" t="s">
        <v>803</v>
      </c>
      <c r="J433" t="s">
        <v>1324</v>
      </c>
      <c r="AR433">
        <v>18</v>
      </c>
      <c r="AS433" t="s">
        <v>2587</v>
      </c>
    </row>
    <row r="434" spans="1:45" x14ac:dyDescent="0.25">
      <c r="A434">
        <v>55</v>
      </c>
      <c r="B434" t="str">
        <f>VLOOKUP(A434,'model groups'!$A$3:$C$86,2,FALSE)</f>
        <v>demersal omnivores</v>
      </c>
      <c r="C434" t="s">
        <v>1325</v>
      </c>
      <c r="D434" t="s">
        <v>1326</v>
      </c>
      <c r="E434" t="s">
        <v>1326</v>
      </c>
      <c r="G434" t="s">
        <v>241</v>
      </c>
      <c r="H434" t="s">
        <v>802</v>
      </c>
      <c r="I434" t="s">
        <v>803</v>
      </c>
      <c r="J434" t="s">
        <v>1327</v>
      </c>
      <c r="AR434">
        <v>18</v>
      </c>
      <c r="AS434" t="s">
        <v>2587</v>
      </c>
    </row>
    <row r="435" spans="1:45" x14ac:dyDescent="0.25">
      <c r="A435">
        <v>55</v>
      </c>
      <c r="B435" t="str">
        <f>VLOOKUP(A435,'model groups'!$A$3:$C$86,2,FALSE)</f>
        <v>demersal omnivores</v>
      </c>
      <c r="C435" t="s">
        <v>1328</v>
      </c>
      <c r="D435" t="s">
        <v>1329</v>
      </c>
      <c r="E435" t="s">
        <v>1329</v>
      </c>
      <c r="G435" t="s">
        <v>241</v>
      </c>
      <c r="H435" t="s">
        <v>802</v>
      </c>
      <c r="I435" t="s">
        <v>803</v>
      </c>
      <c r="J435" t="s">
        <v>1327</v>
      </c>
      <c r="AR435">
        <v>18</v>
      </c>
      <c r="AS435" t="s">
        <v>2587</v>
      </c>
    </row>
    <row r="436" spans="1:45" x14ac:dyDescent="0.25">
      <c r="A436">
        <v>55</v>
      </c>
      <c r="B436" t="str">
        <f>VLOOKUP(A436,'model groups'!$A$3:$C$86,2,FALSE)</f>
        <v>demersal omnivores</v>
      </c>
      <c r="C436" t="s">
        <v>1330</v>
      </c>
      <c r="D436" t="s">
        <v>1331</v>
      </c>
      <c r="E436" t="s">
        <v>1331</v>
      </c>
      <c r="G436" t="s">
        <v>241</v>
      </c>
      <c r="H436" t="s">
        <v>802</v>
      </c>
      <c r="I436" t="s">
        <v>803</v>
      </c>
      <c r="J436" t="s">
        <v>1327</v>
      </c>
      <c r="AR436">
        <v>18</v>
      </c>
      <c r="AS436" t="s">
        <v>2587</v>
      </c>
    </row>
    <row r="437" spans="1:45" x14ac:dyDescent="0.25">
      <c r="A437">
        <v>55</v>
      </c>
      <c r="B437" t="str">
        <f>VLOOKUP(A437,'model groups'!$A$3:$C$86,2,FALSE)</f>
        <v>demersal omnivores</v>
      </c>
      <c r="C437" t="s">
        <v>1332</v>
      </c>
      <c r="D437" t="s">
        <v>1333</v>
      </c>
      <c r="E437" t="s">
        <v>1333</v>
      </c>
      <c r="G437" t="s">
        <v>241</v>
      </c>
      <c r="H437" t="s">
        <v>802</v>
      </c>
      <c r="I437" t="s">
        <v>803</v>
      </c>
      <c r="J437" t="s">
        <v>1334</v>
      </c>
      <c r="AR437">
        <v>18</v>
      </c>
      <c r="AS437" t="s">
        <v>2587</v>
      </c>
    </row>
    <row r="438" spans="1:45" x14ac:dyDescent="0.25">
      <c r="A438">
        <v>55</v>
      </c>
      <c r="B438" t="str">
        <f>VLOOKUP(A438,'model groups'!$A$3:$C$86,2,FALSE)</f>
        <v>demersal omnivores</v>
      </c>
      <c r="C438" t="s">
        <v>1335</v>
      </c>
      <c r="D438" t="s">
        <v>1336</v>
      </c>
      <c r="E438" t="s">
        <v>1336</v>
      </c>
      <c r="G438" t="s">
        <v>241</v>
      </c>
      <c r="H438" t="s">
        <v>802</v>
      </c>
      <c r="I438" t="s">
        <v>803</v>
      </c>
      <c r="J438" t="s">
        <v>1337</v>
      </c>
      <c r="AR438">
        <v>18</v>
      </c>
      <c r="AS438" t="s">
        <v>2587</v>
      </c>
    </row>
    <row r="439" spans="1:45" x14ac:dyDescent="0.25">
      <c r="A439">
        <v>55</v>
      </c>
      <c r="B439" t="str">
        <f>VLOOKUP(A439,'model groups'!$A$3:$C$86,2,FALSE)</f>
        <v>demersal omnivores</v>
      </c>
      <c r="C439" t="s">
        <v>379</v>
      </c>
      <c r="D439" t="s">
        <v>1338</v>
      </c>
      <c r="E439" t="s">
        <v>1338</v>
      </c>
      <c r="G439" t="s">
        <v>241</v>
      </c>
      <c r="H439" t="s">
        <v>802</v>
      </c>
      <c r="I439" t="s">
        <v>803</v>
      </c>
      <c r="J439" t="s">
        <v>1337</v>
      </c>
      <c r="AR439">
        <v>18</v>
      </c>
      <c r="AS439" t="s">
        <v>2587</v>
      </c>
    </row>
    <row r="440" spans="1:45" x14ac:dyDescent="0.25">
      <c r="A440">
        <v>55</v>
      </c>
      <c r="B440" t="str">
        <f>VLOOKUP(A440,'model groups'!$A$3:$C$86,2,FALSE)</f>
        <v>demersal omnivores</v>
      </c>
      <c r="C440" t="s">
        <v>1339</v>
      </c>
      <c r="D440" t="s">
        <v>1340</v>
      </c>
      <c r="E440" t="s">
        <v>1340</v>
      </c>
      <c r="G440" t="s">
        <v>241</v>
      </c>
      <c r="H440" t="s">
        <v>802</v>
      </c>
      <c r="I440" t="s">
        <v>803</v>
      </c>
      <c r="J440" t="s">
        <v>1337</v>
      </c>
      <c r="AR440">
        <v>18</v>
      </c>
      <c r="AS440" t="s">
        <v>2587</v>
      </c>
    </row>
    <row r="441" spans="1:45" x14ac:dyDescent="0.25">
      <c r="A441">
        <v>55</v>
      </c>
      <c r="B441" t="str">
        <f>VLOOKUP(A441,'model groups'!$A$3:$C$86,2,FALSE)</f>
        <v>demersal omnivores</v>
      </c>
      <c r="C441" t="s">
        <v>1341</v>
      </c>
      <c r="D441" t="s">
        <v>1342</v>
      </c>
      <c r="E441" t="s">
        <v>1342</v>
      </c>
      <c r="G441" t="s">
        <v>241</v>
      </c>
      <c r="H441" t="s">
        <v>802</v>
      </c>
      <c r="I441" t="s">
        <v>803</v>
      </c>
      <c r="J441" t="s">
        <v>1343</v>
      </c>
      <c r="AR441">
        <v>18</v>
      </c>
      <c r="AS441" t="s">
        <v>2587</v>
      </c>
    </row>
    <row r="442" spans="1:45" x14ac:dyDescent="0.25">
      <c r="A442">
        <v>55</v>
      </c>
      <c r="B442" t="str">
        <f>VLOOKUP(A442,'model groups'!$A$3:$C$86,2,FALSE)</f>
        <v>demersal omnivores</v>
      </c>
      <c r="C442" t="s">
        <v>1344</v>
      </c>
      <c r="D442" t="s">
        <v>1345</v>
      </c>
      <c r="E442" t="s">
        <v>1345</v>
      </c>
      <c r="G442" t="s">
        <v>195</v>
      </c>
      <c r="H442" t="s">
        <v>196</v>
      </c>
      <c r="I442" t="s">
        <v>803</v>
      </c>
      <c r="J442" t="s">
        <v>1346</v>
      </c>
      <c r="K442" t="s">
        <v>1347</v>
      </c>
      <c r="L442">
        <v>2.2314187990000001</v>
      </c>
      <c r="M442">
        <v>27.06008319</v>
      </c>
      <c r="N442">
        <v>8.0379960659999998</v>
      </c>
      <c r="O442">
        <v>2.4</v>
      </c>
      <c r="P442">
        <v>16.21</v>
      </c>
      <c r="Q442">
        <v>0.436166</v>
      </c>
      <c r="R442" t="s">
        <v>50</v>
      </c>
      <c r="S442" t="s">
        <v>109</v>
      </c>
      <c r="T442" t="str">
        <f>IF(OR(AK442=1,AN442=1),"reef","no")</f>
        <v>no</v>
      </c>
      <c r="U442" s="1">
        <v>0</v>
      </c>
      <c r="V442" s="1">
        <v>0.29992696919702333</v>
      </c>
      <c r="W442" s="1">
        <v>0.59033907271349961</v>
      </c>
      <c r="X442" s="1">
        <v>6.6875325104165051E-2</v>
      </c>
      <c r="Y442" s="1">
        <v>0</v>
      </c>
      <c r="Z442" s="1">
        <v>0</v>
      </c>
      <c r="AA442" s="1">
        <v>4.2858632985311937E-2</v>
      </c>
      <c r="AB442" s="1">
        <v>0</v>
      </c>
      <c r="AC442">
        <v>0</v>
      </c>
      <c r="AD442">
        <v>0</v>
      </c>
      <c r="AE442">
        <v>0</v>
      </c>
      <c r="AF442">
        <v>0</v>
      </c>
      <c r="AG442">
        <v>0</v>
      </c>
      <c r="AH442">
        <v>0</v>
      </c>
      <c r="AI442">
        <v>0</v>
      </c>
      <c r="AJ442">
        <v>0</v>
      </c>
      <c r="AK442">
        <v>0</v>
      </c>
      <c r="AL442">
        <v>1</v>
      </c>
      <c r="AM442">
        <v>0</v>
      </c>
      <c r="AN442">
        <v>0</v>
      </c>
      <c r="AO442">
        <v>0</v>
      </c>
      <c r="AP442">
        <v>0</v>
      </c>
      <c r="AQ442">
        <v>0</v>
      </c>
      <c r="AR442">
        <v>18</v>
      </c>
      <c r="AS442" t="s">
        <v>2587</v>
      </c>
    </row>
    <row r="443" spans="1:45" x14ac:dyDescent="0.25">
      <c r="A443">
        <v>55</v>
      </c>
      <c r="B443" t="str">
        <f>VLOOKUP(A443,'model groups'!$A$3:$C$86,2,FALSE)</f>
        <v>demersal omnivores</v>
      </c>
      <c r="C443" t="s">
        <v>1348</v>
      </c>
      <c r="D443" t="s">
        <v>1349</v>
      </c>
      <c r="E443" t="s">
        <v>1349</v>
      </c>
      <c r="G443" t="s">
        <v>241</v>
      </c>
      <c r="H443" t="s">
        <v>802</v>
      </c>
      <c r="I443" t="s">
        <v>803</v>
      </c>
      <c r="J443" t="s">
        <v>1346</v>
      </c>
      <c r="AR443">
        <v>18</v>
      </c>
      <c r="AS443" t="s">
        <v>2587</v>
      </c>
    </row>
    <row r="444" spans="1:45" x14ac:dyDescent="0.25">
      <c r="A444">
        <v>55</v>
      </c>
      <c r="B444" t="str">
        <f>VLOOKUP(A444,'model groups'!$A$3:$C$86,2,FALSE)</f>
        <v>demersal omnivores</v>
      </c>
      <c r="C444" t="s">
        <v>71</v>
      </c>
      <c r="D444" t="s">
        <v>1350</v>
      </c>
      <c r="E444" t="s">
        <v>1350</v>
      </c>
      <c r="G444" t="s">
        <v>195</v>
      </c>
      <c r="H444" t="s">
        <v>196</v>
      </c>
      <c r="I444" t="s">
        <v>428</v>
      </c>
      <c r="J444" t="s">
        <v>71</v>
      </c>
      <c r="K444" t="s">
        <v>1351</v>
      </c>
      <c r="L444" t="s">
        <v>71</v>
      </c>
      <c r="M444" t="s">
        <v>71</v>
      </c>
      <c r="N444" t="s">
        <v>71</v>
      </c>
      <c r="O444" t="s">
        <v>71</v>
      </c>
      <c r="P444" t="s">
        <v>71</v>
      </c>
      <c r="Q444" t="s">
        <v>71</v>
      </c>
      <c r="R444" t="s">
        <v>71</v>
      </c>
      <c r="S444" t="s">
        <v>71</v>
      </c>
      <c r="U444" t="s">
        <v>71</v>
      </c>
      <c r="V444" t="s">
        <v>71</v>
      </c>
      <c r="W444" t="s">
        <v>71</v>
      </c>
      <c r="X444" t="s">
        <v>71</v>
      </c>
      <c r="Y444" t="s">
        <v>71</v>
      </c>
      <c r="Z444" t="s">
        <v>71</v>
      </c>
      <c r="AA444" t="s">
        <v>71</v>
      </c>
      <c r="AB444" t="s">
        <v>71</v>
      </c>
      <c r="AC444" t="s">
        <v>71</v>
      </c>
      <c r="AD444" t="s">
        <v>71</v>
      </c>
      <c r="AE444" t="s">
        <v>71</v>
      </c>
      <c r="AF444" t="s">
        <v>71</v>
      </c>
      <c r="AG444">
        <v>0</v>
      </c>
      <c r="AH444">
        <v>0</v>
      </c>
      <c r="AI444">
        <v>0</v>
      </c>
      <c r="AJ444">
        <v>0</v>
      </c>
      <c r="AK444">
        <v>0</v>
      </c>
      <c r="AL444">
        <v>0</v>
      </c>
      <c r="AM444">
        <v>0</v>
      </c>
      <c r="AN444">
        <v>0</v>
      </c>
      <c r="AO444">
        <v>0</v>
      </c>
      <c r="AP444">
        <v>0</v>
      </c>
      <c r="AQ444">
        <v>1</v>
      </c>
      <c r="AR444">
        <v>18</v>
      </c>
      <c r="AS444" t="s">
        <v>2587</v>
      </c>
    </row>
    <row r="445" spans="1:45" x14ac:dyDescent="0.25">
      <c r="A445">
        <v>55</v>
      </c>
      <c r="B445" t="str">
        <f>VLOOKUP(A445,'model groups'!$A$3:$C$86,2,FALSE)</f>
        <v>demersal omnivores</v>
      </c>
      <c r="C445" t="s">
        <v>1352</v>
      </c>
      <c r="D445" t="s">
        <v>1353</v>
      </c>
      <c r="E445" t="s">
        <v>1353</v>
      </c>
      <c r="G445" t="s">
        <v>195</v>
      </c>
      <c r="H445" t="s">
        <v>196</v>
      </c>
      <c r="I445" t="s">
        <v>428</v>
      </c>
      <c r="J445" t="s">
        <v>1354</v>
      </c>
      <c r="K445" t="s">
        <v>1355</v>
      </c>
      <c r="L445">
        <v>0.70654144799999996</v>
      </c>
      <c r="M445">
        <v>12.665660644999999</v>
      </c>
      <c r="N445">
        <v>47.898287029999999</v>
      </c>
      <c r="O445">
        <v>2.443333333</v>
      </c>
      <c r="P445">
        <v>49.98</v>
      </c>
      <c r="Q445">
        <v>2.3576800000000002</v>
      </c>
      <c r="R445" t="s">
        <v>50</v>
      </c>
      <c r="S445" t="s">
        <v>109</v>
      </c>
      <c r="T445" t="str">
        <f>IF(OR(AK445=1,AN445=1),"reef","no")</f>
        <v>no</v>
      </c>
      <c r="U445" s="1">
        <v>5.8819656990799721E-3</v>
      </c>
      <c r="V445" s="1">
        <v>0.2117361297391111</v>
      </c>
      <c r="W445" s="1">
        <v>1.7192312361296556E-2</v>
      </c>
      <c r="X445" s="1">
        <v>0.52411679393886579</v>
      </c>
      <c r="Y445" s="1">
        <v>0</v>
      </c>
      <c r="Z445" s="1">
        <v>5.4788606370847447E-2</v>
      </c>
      <c r="AA445" s="1">
        <v>0.16582899809561552</v>
      </c>
      <c r="AB445" s="1">
        <v>2.0455193795183534E-2</v>
      </c>
      <c r="AC445">
        <v>0</v>
      </c>
      <c r="AD445">
        <v>0</v>
      </c>
      <c r="AE445">
        <v>0</v>
      </c>
      <c r="AF445">
        <v>0</v>
      </c>
      <c r="AG445">
        <v>0</v>
      </c>
      <c r="AH445">
        <v>0</v>
      </c>
      <c r="AI445">
        <v>0</v>
      </c>
      <c r="AJ445">
        <v>0</v>
      </c>
      <c r="AK445">
        <v>0</v>
      </c>
      <c r="AL445">
        <v>0</v>
      </c>
      <c r="AM445">
        <v>1</v>
      </c>
      <c r="AN445">
        <v>0</v>
      </c>
      <c r="AO445">
        <v>0</v>
      </c>
      <c r="AP445">
        <v>0</v>
      </c>
      <c r="AQ445">
        <v>0</v>
      </c>
      <c r="AR445">
        <v>18</v>
      </c>
      <c r="AS445" t="s">
        <v>2587</v>
      </c>
    </row>
    <row r="446" spans="1:45" x14ac:dyDescent="0.25">
      <c r="A446">
        <v>55</v>
      </c>
      <c r="B446" t="str">
        <f>VLOOKUP(A446,'model groups'!$A$3:$C$86,2,FALSE)</f>
        <v>demersal omnivores</v>
      </c>
      <c r="C446" t="s">
        <v>1356</v>
      </c>
      <c r="D446" t="s">
        <v>1357</v>
      </c>
      <c r="E446" t="s">
        <v>1357</v>
      </c>
      <c r="G446" t="s">
        <v>195</v>
      </c>
      <c r="H446" t="s">
        <v>196</v>
      </c>
      <c r="I446" t="s">
        <v>428</v>
      </c>
      <c r="J446" t="s">
        <v>1358</v>
      </c>
      <c r="K446" t="s">
        <v>1359</v>
      </c>
      <c r="L446">
        <v>0.91216054400000002</v>
      </c>
      <c r="M446">
        <v>9.7541289510000002</v>
      </c>
      <c r="N446">
        <v>41.743344059999998</v>
      </c>
      <c r="O446">
        <v>3.71</v>
      </c>
      <c r="P446">
        <v>34.4</v>
      </c>
      <c r="Q446">
        <v>2.2199300000000002</v>
      </c>
      <c r="R446" t="s">
        <v>50</v>
      </c>
      <c r="S446" t="s">
        <v>109</v>
      </c>
      <c r="T446" t="str">
        <f>IF(OR(AK446=1,AN446=1),"reef","no")</f>
        <v>reef</v>
      </c>
      <c r="U446" s="1">
        <v>3.1764381092879199E-2</v>
      </c>
      <c r="V446" s="1">
        <v>0.27698732397615555</v>
      </c>
      <c r="W446" s="1">
        <v>1.2160146144214441E-2</v>
      </c>
      <c r="X446" s="1">
        <v>0.29887158647373729</v>
      </c>
      <c r="Y446" s="1">
        <v>0</v>
      </c>
      <c r="Z446" s="1">
        <v>7.6320912603632281E-3</v>
      </c>
      <c r="AA446" s="1">
        <v>0.16069392901751794</v>
      </c>
      <c r="AB446" s="1">
        <v>0.21189054203513233</v>
      </c>
      <c r="AC446">
        <v>0</v>
      </c>
      <c r="AD446">
        <v>1</v>
      </c>
      <c r="AE446">
        <v>0</v>
      </c>
      <c r="AF446">
        <v>0</v>
      </c>
      <c r="AG446">
        <v>1</v>
      </c>
      <c r="AH446">
        <v>0</v>
      </c>
      <c r="AI446">
        <v>0</v>
      </c>
      <c r="AJ446">
        <v>0</v>
      </c>
      <c r="AK446">
        <v>1</v>
      </c>
      <c r="AL446">
        <v>1</v>
      </c>
      <c r="AM446">
        <v>1</v>
      </c>
      <c r="AN446">
        <v>0</v>
      </c>
      <c r="AO446">
        <v>1</v>
      </c>
      <c r="AP446">
        <v>0</v>
      </c>
      <c r="AQ446">
        <v>1</v>
      </c>
      <c r="AR446">
        <v>18</v>
      </c>
      <c r="AS446" t="s">
        <v>2587</v>
      </c>
    </row>
    <row r="447" spans="1:45" x14ac:dyDescent="0.25">
      <c r="A447">
        <v>56</v>
      </c>
      <c r="B447" t="str">
        <f>VLOOKUP(A447,'model groups'!$A$3:$C$86,2,FALSE)</f>
        <v>sardine herring scad</v>
      </c>
      <c r="C447" t="s">
        <v>71</v>
      </c>
      <c r="D447" t="s">
        <v>1360</v>
      </c>
      <c r="E447" t="s">
        <v>1360</v>
      </c>
      <c r="G447" t="s">
        <v>195</v>
      </c>
      <c r="H447" t="s">
        <v>209</v>
      </c>
      <c r="I447" t="s">
        <v>197</v>
      </c>
      <c r="J447" t="s">
        <v>1361</v>
      </c>
      <c r="K447" t="s">
        <v>1362</v>
      </c>
      <c r="L447" t="s">
        <v>71</v>
      </c>
      <c r="M447" t="s">
        <v>71</v>
      </c>
      <c r="N447" t="s">
        <v>71</v>
      </c>
      <c r="O447" t="s">
        <v>71</v>
      </c>
      <c r="P447" t="s">
        <v>71</v>
      </c>
      <c r="Q447" t="s">
        <v>71</v>
      </c>
      <c r="R447" t="s">
        <v>71</v>
      </c>
      <c r="S447" t="s">
        <v>71</v>
      </c>
      <c r="U447" t="s">
        <v>71</v>
      </c>
      <c r="V447" t="s">
        <v>71</v>
      </c>
      <c r="W447" t="s">
        <v>71</v>
      </c>
      <c r="X447" t="s">
        <v>71</v>
      </c>
      <c r="Y447" t="s">
        <v>71</v>
      </c>
      <c r="Z447" t="s">
        <v>71</v>
      </c>
      <c r="AA447" t="s">
        <v>71</v>
      </c>
      <c r="AB447" t="s">
        <v>71</v>
      </c>
      <c r="AC447" t="s">
        <v>71</v>
      </c>
      <c r="AD447" t="s">
        <v>71</v>
      </c>
      <c r="AE447" t="s">
        <v>71</v>
      </c>
      <c r="AF447" t="s">
        <v>71</v>
      </c>
      <c r="AG447">
        <v>0</v>
      </c>
      <c r="AH447">
        <v>0</v>
      </c>
      <c r="AI447">
        <v>0</v>
      </c>
      <c r="AJ447">
        <v>0</v>
      </c>
      <c r="AK447">
        <v>0</v>
      </c>
      <c r="AL447">
        <v>0</v>
      </c>
      <c r="AM447">
        <v>0</v>
      </c>
      <c r="AN447">
        <v>0</v>
      </c>
      <c r="AO447">
        <v>0</v>
      </c>
      <c r="AP447">
        <v>0</v>
      </c>
      <c r="AQ447">
        <v>1</v>
      </c>
      <c r="AR447">
        <v>19</v>
      </c>
      <c r="AS447" t="s">
        <v>2588</v>
      </c>
    </row>
    <row r="448" spans="1:45" x14ac:dyDescent="0.25">
      <c r="A448">
        <v>56</v>
      </c>
      <c r="B448" t="str">
        <f>VLOOKUP(A448,'model groups'!$A$3:$C$86,2,FALSE)</f>
        <v>sardine herring scad</v>
      </c>
      <c r="C448" t="s">
        <v>1363</v>
      </c>
      <c r="D448" t="s">
        <v>1364</v>
      </c>
      <c r="E448" t="s">
        <v>1364</v>
      </c>
      <c r="G448" t="s">
        <v>195</v>
      </c>
      <c r="H448" t="s">
        <v>196</v>
      </c>
      <c r="I448" t="s">
        <v>197</v>
      </c>
      <c r="J448" t="s">
        <v>1361</v>
      </c>
      <c r="K448" t="s">
        <v>1365</v>
      </c>
      <c r="L448">
        <v>0.70654144799999996</v>
      </c>
      <c r="M448">
        <v>9.8392782889999992</v>
      </c>
      <c r="N448">
        <v>47.898287029999999</v>
      </c>
      <c r="O448">
        <v>3.5066666670000002</v>
      </c>
      <c r="P448">
        <v>19.87</v>
      </c>
      <c r="Q448">
        <v>4.4389000000000003</v>
      </c>
      <c r="R448" t="s">
        <v>70</v>
      </c>
      <c r="S448" t="s">
        <v>51</v>
      </c>
      <c r="T448" t="str">
        <f t="shared" ref="T448:T453" si="13">IF(OR(AK448=1,AN448=1),"reef","no")</f>
        <v>reef</v>
      </c>
      <c r="U448" s="1">
        <v>0</v>
      </c>
      <c r="V448" s="1">
        <v>8.00000011552E-3</v>
      </c>
      <c r="W448" s="1">
        <v>0</v>
      </c>
      <c r="X448" s="1">
        <v>0</v>
      </c>
      <c r="Y448" s="1">
        <v>0</v>
      </c>
      <c r="Z448" s="1">
        <v>0</v>
      </c>
      <c r="AA448" s="1">
        <v>0.48249999972979996</v>
      </c>
      <c r="AB448" s="1">
        <v>0.50950000015468</v>
      </c>
      <c r="AC448">
        <v>0</v>
      </c>
      <c r="AD448">
        <v>0</v>
      </c>
      <c r="AE448">
        <v>0</v>
      </c>
      <c r="AF448">
        <v>0</v>
      </c>
      <c r="AG448">
        <v>0</v>
      </c>
      <c r="AH448">
        <v>0</v>
      </c>
      <c r="AI448">
        <v>0</v>
      </c>
      <c r="AJ448">
        <v>0</v>
      </c>
      <c r="AK448">
        <v>0</v>
      </c>
      <c r="AL448">
        <v>0</v>
      </c>
      <c r="AM448">
        <v>0</v>
      </c>
      <c r="AN448">
        <v>1</v>
      </c>
      <c r="AO448">
        <v>0</v>
      </c>
      <c r="AP448">
        <v>0</v>
      </c>
      <c r="AQ448">
        <v>0</v>
      </c>
      <c r="AR448">
        <v>19</v>
      </c>
      <c r="AS448" t="s">
        <v>2588</v>
      </c>
    </row>
    <row r="449" spans="1:45" x14ac:dyDescent="0.25">
      <c r="A449">
        <v>56</v>
      </c>
      <c r="B449" t="str">
        <f>VLOOKUP(A449,'model groups'!$A$3:$C$86,2,FALSE)</f>
        <v>sardine herring scad</v>
      </c>
      <c r="C449" t="s">
        <v>1366</v>
      </c>
      <c r="D449" t="s">
        <v>1367</v>
      </c>
      <c r="E449" t="s">
        <v>1367</v>
      </c>
      <c r="G449" t="s">
        <v>195</v>
      </c>
      <c r="H449" t="s">
        <v>196</v>
      </c>
      <c r="I449" t="s">
        <v>197</v>
      </c>
      <c r="J449" t="s">
        <v>1361</v>
      </c>
      <c r="K449" t="s">
        <v>1368</v>
      </c>
      <c r="L449">
        <v>0.92649175900000003</v>
      </c>
      <c r="M449">
        <v>12.756918994999999</v>
      </c>
      <c r="N449">
        <v>31.451041149999998</v>
      </c>
      <c r="O449">
        <v>3.943333333</v>
      </c>
      <c r="P449">
        <v>33.630000000000003</v>
      </c>
      <c r="Q449">
        <v>2.6869299999999998</v>
      </c>
      <c r="R449" t="s">
        <v>70</v>
      </c>
      <c r="S449" t="s">
        <v>51</v>
      </c>
      <c r="T449" t="str">
        <f t="shared" si="13"/>
        <v>no</v>
      </c>
      <c r="U449" s="1">
        <v>0</v>
      </c>
      <c r="V449" s="1">
        <v>0.441726501086396</v>
      </c>
      <c r="W449" s="1">
        <v>0.17781067198036324</v>
      </c>
      <c r="X449" s="1">
        <v>0</v>
      </c>
      <c r="Y449" s="1">
        <v>0</v>
      </c>
      <c r="Z449" s="1">
        <v>0</v>
      </c>
      <c r="AA449" s="1">
        <v>9.6045762835431925E-2</v>
      </c>
      <c r="AB449" s="1">
        <v>0.28441706409780892</v>
      </c>
      <c r="AC449">
        <v>0</v>
      </c>
      <c r="AD449">
        <v>0</v>
      </c>
      <c r="AE449">
        <v>0</v>
      </c>
      <c r="AF449">
        <v>1</v>
      </c>
      <c r="AG449">
        <v>1</v>
      </c>
      <c r="AH449">
        <v>0</v>
      </c>
      <c r="AI449">
        <v>0</v>
      </c>
      <c r="AJ449">
        <v>0</v>
      </c>
      <c r="AK449">
        <v>0</v>
      </c>
      <c r="AL449">
        <v>0</v>
      </c>
      <c r="AM449">
        <v>1</v>
      </c>
      <c r="AN449">
        <v>0</v>
      </c>
      <c r="AO449">
        <v>1</v>
      </c>
      <c r="AP449">
        <v>0</v>
      </c>
      <c r="AQ449">
        <v>0</v>
      </c>
      <c r="AR449">
        <v>19</v>
      </c>
      <c r="AS449" t="s">
        <v>2588</v>
      </c>
    </row>
    <row r="450" spans="1:45" x14ac:dyDescent="0.25">
      <c r="A450">
        <v>56</v>
      </c>
      <c r="B450" t="str">
        <f>VLOOKUP(A450,'model groups'!$A$3:$C$86,2,FALSE)</f>
        <v>sardine herring scad</v>
      </c>
      <c r="C450" t="s">
        <v>1369</v>
      </c>
      <c r="D450" t="s">
        <v>1370</v>
      </c>
      <c r="E450" t="s">
        <v>1370</v>
      </c>
      <c r="G450" t="s">
        <v>195</v>
      </c>
      <c r="H450" t="s">
        <v>196</v>
      </c>
      <c r="I450" t="s">
        <v>197</v>
      </c>
      <c r="J450" t="s">
        <v>1371</v>
      </c>
      <c r="K450" t="s">
        <v>1372</v>
      </c>
      <c r="L450">
        <v>1.172601242</v>
      </c>
      <c r="M450">
        <v>13.076180705000001</v>
      </c>
      <c r="N450">
        <v>32</v>
      </c>
      <c r="O450">
        <v>3.826666667</v>
      </c>
      <c r="P450">
        <v>39.44</v>
      </c>
      <c r="Q450">
        <v>3.5256349999999999</v>
      </c>
      <c r="R450" t="s">
        <v>70</v>
      </c>
      <c r="S450" t="s">
        <v>51</v>
      </c>
      <c r="T450" t="str">
        <f t="shared" si="13"/>
        <v>no</v>
      </c>
      <c r="U450" s="1">
        <v>0.32062993648860116</v>
      </c>
      <c r="V450" s="1">
        <v>0.27291705315254106</v>
      </c>
      <c r="W450" s="1">
        <v>0.14151872574888277</v>
      </c>
      <c r="X450" s="1">
        <v>0</v>
      </c>
      <c r="Y450" s="1">
        <v>1.8871391095653573E-2</v>
      </c>
      <c r="Z450" s="1">
        <v>0</v>
      </c>
      <c r="AA450" s="1">
        <v>1.5047010947259755E-2</v>
      </c>
      <c r="AB450" s="1">
        <v>0.2310158825670616</v>
      </c>
      <c r="AC450">
        <v>0</v>
      </c>
      <c r="AD450">
        <v>0</v>
      </c>
      <c r="AE450">
        <v>1</v>
      </c>
      <c r="AF450">
        <v>0</v>
      </c>
      <c r="AG450">
        <v>0</v>
      </c>
      <c r="AH450">
        <v>0</v>
      </c>
      <c r="AI450">
        <v>0</v>
      </c>
      <c r="AJ450">
        <v>0</v>
      </c>
      <c r="AK450">
        <v>0</v>
      </c>
      <c r="AL450">
        <v>0</v>
      </c>
      <c r="AM450">
        <v>1</v>
      </c>
      <c r="AN450">
        <v>0</v>
      </c>
      <c r="AO450">
        <v>0</v>
      </c>
      <c r="AP450">
        <v>0</v>
      </c>
      <c r="AQ450">
        <v>1</v>
      </c>
      <c r="AR450">
        <v>19</v>
      </c>
      <c r="AS450" t="s">
        <v>2588</v>
      </c>
    </row>
    <row r="451" spans="1:45" x14ac:dyDescent="0.25">
      <c r="A451">
        <v>56</v>
      </c>
      <c r="B451" t="str">
        <f>VLOOKUP(A451,'model groups'!$A$3:$C$86,2,FALSE)</f>
        <v>sardine herring scad</v>
      </c>
      <c r="C451" t="s">
        <v>1373</v>
      </c>
      <c r="D451" t="s">
        <v>1374</v>
      </c>
      <c r="E451" t="s">
        <v>1374</v>
      </c>
      <c r="G451" t="s">
        <v>195</v>
      </c>
      <c r="H451" t="s">
        <v>196</v>
      </c>
      <c r="I451" t="s">
        <v>197</v>
      </c>
      <c r="J451" t="s">
        <v>1375</v>
      </c>
      <c r="K451" t="s">
        <v>1376</v>
      </c>
      <c r="L451">
        <v>0.77201093399999998</v>
      </c>
      <c r="M451">
        <v>15.551015755000002</v>
      </c>
      <c r="N451">
        <v>41.743344059999998</v>
      </c>
      <c r="O451">
        <v>3.753333333</v>
      </c>
      <c r="P451">
        <v>37.06</v>
      </c>
      <c r="Q451">
        <v>1.8552299999999999</v>
      </c>
      <c r="R451" t="s">
        <v>70</v>
      </c>
      <c r="S451" t="s">
        <v>51</v>
      </c>
      <c r="T451" t="str">
        <f t="shared" si="13"/>
        <v>no</v>
      </c>
      <c r="U451" s="1">
        <v>0</v>
      </c>
      <c r="V451" s="1">
        <v>0.38000000588999994</v>
      </c>
      <c r="W451" s="1">
        <v>0.61999999411000006</v>
      </c>
      <c r="X451" s="1">
        <v>0</v>
      </c>
      <c r="Y451" s="1">
        <v>0</v>
      </c>
      <c r="Z451" s="1">
        <v>0</v>
      </c>
      <c r="AA451" s="1">
        <v>0</v>
      </c>
      <c r="AB451" s="1">
        <v>0</v>
      </c>
      <c r="AC451">
        <v>0</v>
      </c>
      <c r="AD451">
        <v>0</v>
      </c>
      <c r="AE451">
        <v>0</v>
      </c>
      <c r="AF451">
        <v>0</v>
      </c>
      <c r="AG451">
        <v>1</v>
      </c>
      <c r="AH451">
        <v>0</v>
      </c>
      <c r="AI451">
        <v>0</v>
      </c>
      <c r="AJ451">
        <v>0</v>
      </c>
      <c r="AK451">
        <v>0</v>
      </c>
      <c r="AL451">
        <v>0</v>
      </c>
      <c r="AM451">
        <v>0</v>
      </c>
      <c r="AN451">
        <v>0</v>
      </c>
      <c r="AO451">
        <v>0</v>
      </c>
      <c r="AP451">
        <v>0</v>
      </c>
      <c r="AQ451">
        <v>0</v>
      </c>
      <c r="AR451">
        <v>19</v>
      </c>
      <c r="AS451" t="s">
        <v>2588</v>
      </c>
    </row>
    <row r="452" spans="1:45" x14ac:dyDescent="0.25">
      <c r="A452">
        <v>56</v>
      </c>
      <c r="B452" t="str">
        <f>VLOOKUP(A452,'model groups'!$A$3:$C$86,2,FALSE)</f>
        <v>sardine herring scad</v>
      </c>
      <c r="D452" t="s">
        <v>1377</v>
      </c>
      <c r="E452" t="s">
        <v>1377</v>
      </c>
      <c r="G452" t="s">
        <v>195</v>
      </c>
      <c r="H452" t="s">
        <v>196</v>
      </c>
      <c r="I452" t="s">
        <v>197</v>
      </c>
      <c r="T452" t="str">
        <f t="shared" si="13"/>
        <v>reef</v>
      </c>
      <c r="U452" s="1"/>
      <c r="V452" s="1"/>
      <c r="W452" s="1"/>
      <c r="X452" s="1"/>
      <c r="Y452" s="1"/>
      <c r="Z452" s="1"/>
      <c r="AA452" s="1"/>
      <c r="AB452" s="1"/>
      <c r="AG452">
        <v>0</v>
      </c>
      <c r="AH452">
        <v>0</v>
      </c>
      <c r="AI452">
        <v>0</v>
      </c>
      <c r="AJ452">
        <v>0</v>
      </c>
      <c r="AK452">
        <v>0</v>
      </c>
      <c r="AL452">
        <v>0</v>
      </c>
      <c r="AM452">
        <v>0</v>
      </c>
      <c r="AN452">
        <v>1</v>
      </c>
      <c r="AO452">
        <v>0</v>
      </c>
      <c r="AP452">
        <v>0</v>
      </c>
      <c r="AQ452">
        <v>1</v>
      </c>
      <c r="AR452">
        <v>19</v>
      </c>
      <c r="AS452" t="s">
        <v>2588</v>
      </c>
    </row>
    <row r="453" spans="1:45" x14ac:dyDescent="0.25">
      <c r="A453">
        <v>56</v>
      </c>
      <c r="B453" t="str">
        <f>VLOOKUP(A453,'model groups'!$A$3:$C$86,2,FALSE)</f>
        <v>sardine herring scad</v>
      </c>
      <c r="D453" t="s">
        <v>1378</v>
      </c>
      <c r="E453" t="s">
        <v>1379</v>
      </c>
      <c r="G453" t="s">
        <v>195</v>
      </c>
      <c r="H453" t="s">
        <v>1380</v>
      </c>
      <c r="I453" t="s">
        <v>1381</v>
      </c>
      <c r="J453" t="s">
        <v>1382</v>
      </c>
      <c r="T453" t="str">
        <f t="shared" si="13"/>
        <v>no</v>
      </c>
      <c r="U453" s="1"/>
      <c r="V453" s="1"/>
      <c r="W453" s="1"/>
      <c r="X453" s="1"/>
      <c r="Y453" s="1"/>
      <c r="Z453" s="1"/>
      <c r="AA453" s="1"/>
      <c r="AB453" s="1"/>
      <c r="AG453">
        <v>0</v>
      </c>
      <c r="AH453">
        <v>0</v>
      </c>
      <c r="AI453">
        <v>0</v>
      </c>
      <c r="AJ453">
        <v>0</v>
      </c>
      <c r="AK453">
        <v>0</v>
      </c>
      <c r="AL453">
        <v>0</v>
      </c>
      <c r="AM453">
        <v>1</v>
      </c>
      <c r="AN453">
        <v>0</v>
      </c>
      <c r="AO453">
        <v>0</v>
      </c>
      <c r="AP453">
        <v>0</v>
      </c>
      <c r="AQ453">
        <v>0</v>
      </c>
      <c r="AR453">
        <v>19</v>
      </c>
      <c r="AS453" t="s">
        <v>2588</v>
      </c>
    </row>
    <row r="454" spans="1:45" x14ac:dyDescent="0.25">
      <c r="A454">
        <v>56</v>
      </c>
      <c r="B454" t="str">
        <f>VLOOKUP(A454,'model groups'!$A$3:$C$86,2,FALSE)</f>
        <v>sardine herring scad</v>
      </c>
      <c r="C454" t="s">
        <v>1383</v>
      </c>
      <c r="D454" t="s">
        <v>1384</v>
      </c>
      <c r="E454" t="s">
        <v>1384</v>
      </c>
      <c r="G454" t="s">
        <v>241</v>
      </c>
      <c r="H454" t="s">
        <v>1380</v>
      </c>
      <c r="I454" t="s">
        <v>1381</v>
      </c>
      <c r="J454" t="s">
        <v>1382</v>
      </c>
      <c r="AR454">
        <v>19</v>
      </c>
      <c r="AS454" t="s">
        <v>2588</v>
      </c>
    </row>
    <row r="455" spans="1:45" x14ac:dyDescent="0.25">
      <c r="A455">
        <v>56</v>
      </c>
      <c r="B455" t="str">
        <f>VLOOKUP(A455,'model groups'!$A$3:$C$86,2,FALSE)</f>
        <v>sardine herring scad</v>
      </c>
      <c r="C455" t="s">
        <v>1385</v>
      </c>
      <c r="D455" t="s">
        <v>1386</v>
      </c>
      <c r="E455" t="s">
        <v>1386</v>
      </c>
      <c r="G455" t="s">
        <v>241</v>
      </c>
      <c r="H455" t="s">
        <v>1380</v>
      </c>
      <c r="I455" t="s">
        <v>1381</v>
      </c>
      <c r="J455" t="s">
        <v>1382</v>
      </c>
      <c r="AR455">
        <v>19</v>
      </c>
      <c r="AS455" t="s">
        <v>2588</v>
      </c>
    </row>
    <row r="456" spans="1:45" x14ac:dyDescent="0.25">
      <c r="A456">
        <v>56</v>
      </c>
      <c r="B456" t="str">
        <f>VLOOKUP(A456,'model groups'!$A$3:$C$86,2,FALSE)</f>
        <v>sardine herring scad</v>
      </c>
      <c r="C456" t="s">
        <v>1387</v>
      </c>
      <c r="D456" t="s">
        <v>1388</v>
      </c>
      <c r="E456" t="s">
        <v>1388</v>
      </c>
      <c r="G456" t="s">
        <v>241</v>
      </c>
      <c r="H456" t="s">
        <v>1380</v>
      </c>
      <c r="I456" t="s">
        <v>1381</v>
      </c>
      <c r="J456" t="s">
        <v>1382</v>
      </c>
      <c r="AR456">
        <v>19</v>
      </c>
      <c r="AS456" t="s">
        <v>2588</v>
      </c>
    </row>
    <row r="457" spans="1:45" x14ac:dyDescent="0.25">
      <c r="A457">
        <v>56</v>
      </c>
      <c r="B457" t="str">
        <f>VLOOKUP(A457,'model groups'!$A$3:$C$86,2,FALSE)</f>
        <v>sardine herring scad</v>
      </c>
      <c r="C457" t="s">
        <v>1389</v>
      </c>
      <c r="D457" t="s">
        <v>1390</v>
      </c>
      <c r="E457" t="s">
        <v>1390</v>
      </c>
      <c r="G457" t="s">
        <v>241</v>
      </c>
      <c r="H457" t="s">
        <v>1380</v>
      </c>
      <c r="I457" t="s">
        <v>1381</v>
      </c>
      <c r="J457" t="s">
        <v>1391</v>
      </c>
      <c r="AR457">
        <v>19</v>
      </c>
      <c r="AS457" t="s">
        <v>2588</v>
      </c>
    </row>
    <row r="458" spans="1:45" x14ac:dyDescent="0.25">
      <c r="A458">
        <v>56</v>
      </c>
      <c r="B458" t="str">
        <f>VLOOKUP(A458,'model groups'!$A$3:$C$86,2,FALSE)</f>
        <v>sardine herring scad</v>
      </c>
      <c r="C458" t="s">
        <v>1392</v>
      </c>
      <c r="D458" t="s">
        <v>1393</v>
      </c>
      <c r="E458" t="s">
        <v>1393</v>
      </c>
      <c r="G458" t="s">
        <v>241</v>
      </c>
      <c r="H458" t="s">
        <v>1380</v>
      </c>
      <c r="I458" t="s">
        <v>1381</v>
      </c>
      <c r="J458" t="s">
        <v>1391</v>
      </c>
      <c r="AR458">
        <v>19</v>
      </c>
      <c r="AS458" t="s">
        <v>2588</v>
      </c>
    </row>
    <row r="459" spans="1:45" x14ac:dyDescent="0.25">
      <c r="A459">
        <v>56</v>
      </c>
      <c r="B459" t="str">
        <f>VLOOKUP(A459,'model groups'!$A$3:$C$86,2,FALSE)</f>
        <v>sardine herring scad</v>
      </c>
      <c r="C459" t="s">
        <v>1394</v>
      </c>
      <c r="D459" t="s">
        <v>1395</v>
      </c>
      <c r="E459" t="s">
        <v>1395</v>
      </c>
      <c r="G459" t="s">
        <v>195</v>
      </c>
      <c r="H459" t="s">
        <v>1380</v>
      </c>
      <c r="I459" t="s">
        <v>1381</v>
      </c>
      <c r="J459" t="s">
        <v>1396</v>
      </c>
      <c r="K459" t="s">
        <v>1397</v>
      </c>
      <c r="L459">
        <v>1.1546434290000001</v>
      </c>
      <c r="M459">
        <v>12.925546754999999</v>
      </c>
      <c r="N459">
        <v>22.348435240000001</v>
      </c>
      <c r="O459">
        <v>3.35</v>
      </c>
      <c r="P459">
        <v>20.83</v>
      </c>
      <c r="Q459">
        <v>3.39567</v>
      </c>
      <c r="R459" t="s">
        <v>50</v>
      </c>
      <c r="S459" t="s">
        <v>77</v>
      </c>
      <c r="T459" t="str">
        <f t="shared" ref="T459:T464" si="14">IF(OR(AK459=1,AN459=1),"reef","no")</f>
        <v>no</v>
      </c>
      <c r="U459" s="1">
        <v>7.9992000554369128E-2</v>
      </c>
      <c r="V459" s="1">
        <v>0.19396060094444653</v>
      </c>
      <c r="W459" s="1">
        <v>2.5197479974646271E-3</v>
      </c>
      <c r="X459" s="1">
        <v>9.579041986393701E-3</v>
      </c>
      <c r="Y459" s="1">
        <v>0</v>
      </c>
      <c r="Z459" s="1">
        <v>0</v>
      </c>
      <c r="AA459" s="1">
        <v>0.15956404554558382</v>
      </c>
      <c r="AB459" s="1">
        <v>0.55438456297174221</v>
      </c>
      <c r="AC459">
        <v>0</v>
      </c>
      <c r="AD459">
        <v>0</v>
      </c>
      <c r="AE459">
        <v>0</v>
      </c>
      <c r="AF459">
        <v>0</v>
      </c>
      <c r="AG459">
        <v>1</v>
      </c>
      <c r="AH459">
        <v>0</v>
      </c>
      <c r="AI459">
        <v>0</v>
      </c>
      <c r="AJ459">
        <v>0</v>
      </c>
      <c r="AK459">
        <v>0</v>
      </c>
      <c r="AL459">
        <v>0</v>
      </c>
      <c r="AM459">
        <v>1</v>
      </c>
      <c r="AN459">
        <v>0</v>
      </c>
      <c r="AO459">
        <v>0</v>
      </c>
      <c r="AP459">
        <v>0</v>
      </c>
      <c r="AQ459">
        <v>0</v>
      </c>
      <c r="AR459">
        <v>19</v>
      </c>
      <c r="AS459" t="s">
        <v>2588</v>
      </c>
    </row>
    <row r="460" spans="1:45" x14ac:dyDescent="0.25">
      <c r="A460">
        <v>56</v>
      </c>
      <c r="B460" t="str">
        <f>VLOOKUP(A460,'model groups'!$A$3:$C$86,2,FALSE)</f>
        <v>sardine herring scad</v>
      </c>
      <c r="C460" t="s">
        <v>1394</v>
      </c>
      <c r="D460" t="s">
        <v>1395</v>
      </c>
      <c r="E460" t="s">
        <v>1398</v>
      </c>
      <c r="G460" t="s">
        <v>195</v>
      </c>
      <c r="H460" t="s">
        <v>1380</v>
      </c>
      <c r="I460" t="s">
        <v>1381</v>
      </c>
      <c r="J460" t="s">
        <v>1396</v>
      </c>
      <c r="K460" t="s">
        <v>1397</v>
      </c>
      <c r="L460">
        <v>1.1546434290000001</v>
      </c>
      <c r="M460">
        <v>12.925546754999999</v>
      </c>
      <c r="N460">
        <v>22.348435240000001</v>
      </c>
      <c r="O460">
        <v>3.35</v>
      </c>
      <c r="P460">
        <v>20.83</v>
      </c>
      <c r="Q460">
        <v>3.39567</v>
      </c>
      <c r="R460" t="s">
        <v>50</v>
      </c>
      <c r="S460" t="s">
        <v>77</v>
      </c>
      <c r="T460" t="str">
        <f t="shared" si="14"/>
        <v>no</v>
      </c>
      <c r="U460" s="1">
        <v>7.9992000554369128E-2</v>
      </c>
      <c r="V460" s="1">
        <v>0.19396060094444653</v>
      </c>
      <c r="W460" s="1">
        <v>2.5197479974646271E-3</v>
      </c>
      <c r="X460" s="1">
        <v>9.579041986393701E-3</v>
      </c>
      <c r="Y460" s="1">
        <v>0</v>
      </c>
      <c r="Z460" s="1">
        <v>0</v>
      </c>
      <c r="AA460" s="1">
        <v>0.15956404554558382</v>
      </c>
      <c r="AB460" s="1">
        <v>0.55438456297174221</v>
      </c>
      <c r="AC460">
        <v>0</v>
      </c>
      <c r="AD460">
        <v>0</v>
      </c>
      <c r="AE460">
        <v>0</v>
      </c>
      <c r="AF460">
        <v>0</v>
      </c>
      <c r="AG460">
        <v>0</v>
      </c>
      <c r="AH460">
        <v>0</v>
      </c>
      <c r="AI460">
        <v>0</v>
      </c>
      <c r="AJ460">
        <v>0</v>
      </c>
      <c r="AK460">
        <v>0</v>
      </c>
      <c r="AL460">
        <v>0</v>
      </c>
      <c r="AM460">
        <v>0</v>
      </c>
      <c r="AN460">
        <v>0</v>
      </c>
      <c r="AO460">
        <v>1</v>
      </c>
      <c r="AP460">
        <v>0</v>
      </c>
      <c r="AQ460">
        <v>0</v>
      </c>
      <c r="AR460">
        <v>19</v>
      </c>
      <c r="AS460" t="s">
        <v>2588</v>
      </c>
    </row>
    <row r="461" spans="1:45" x14ac:dyDescent="0.25">
      <c r="A461">
        <v>56</v>
      </c>
      <c r="B461" t="str">
        <f>VLOOKUP(A461,'model groups'!$A$3:$C$86,2,FALSE)</f>
        <v>sardine herring scad</v>
      </c>
      <c r="C461" t="s">
        <v>1399</v>
      </c>
      <c r="D461" t="s">
        <v>1400</v>
      </c>
      <c r="E461" t="s">
        <v>1400</v>
      </c>
      <c r="G461" t="s">
        <v>195</v>
      </c>
      <c r="H461" t="s">
        <v>1380</v>
      </c>
      <c r="I461" t="s">
        <v>1381</v>
      </c>
      <c r="J461" t="s">
        <v>1401</v>
      </c>
      <c r="K461" t="s">
        <v>1402</v>
      </c>
      <c r="L461">
        <v>0.96611033800000001</v>
      </c>
      <c r="M461">
        <v>15.49533252</v>
      </c>
      <c r="N461">
        <v>21.6</v>
      </c>
      <c r="O461">
        <v>4.18</v>
      </c>
      <c r="P461">
        <v>23.84</v>
      </c>
      <c r="Q461">
        <v>1.1929000000000001</v>
      </c>
      <c r="R461" t="s">
        <v>70</v>
      </c>
      <c r="S461" t="s">
        <v>51</v>
      </c>
      <c r="T461" t="str">
        <f t="shared" si="14"/>
        <v>no</v>
      </c>
      <c r="U461" s="1">
        <v>2.1801308484963689E-2</v>
      </c>
      <c r="V461" s="1">
        <v>2.7141628468395147E-2</v>
      </c>
      <c r="W461" s="1">
        <v>0.47252835119074083</v>
      </c>
      <c r="X461" s="1">
        <v>0</v>
      </c>
      <c r="Y461" s="1">
        <v>0</v>
      </c>
      <c r="Z461" s="1">
        <v>0</v>
      </c>
      <c r="AA461" s="1">
        <v>5.1383082179437045E-2</v>
      </c>
      <c r="AB461" s="1">
        <v>0.42714562967646336</v>
      </c>
      <c r="AC461">
        <v>0</v>
      </c>
      <c r="AD461">
        <v>0</v>
      </c>
      <c r="AE461">
        <v>0</v>
      </c>
      <c r="AF461">
        <v>1</v>
      </c>
      <c r="AG461">
        <v>0</v>
      </c>
      <c r="AH461">
        <v>0</v>
      </c>
      <c r="AI461">
        <v>0</v>
      </c>
      <c r="AJ461">
        <v>0</v>
      </c>
      <c r="AK461">
        <v>0</v>
      </c>
      <c r="AL461">
        <v>0</v>
      </c>
      <c r="AM461">
        <v>1</v>
      </c>
      <c r="AN461">
        <v>0</v>
      </c>
      <c r="AO461">
        <v>1</v>
      </c>
      <c r="AP461">
        <v>0</v>
      </c>
      <c r="AQ461">
        <v>1</v>
      </c>
      <c r="AR461">
        <v>19</v>
      </c>
      <c r="AS461" t="s">
        <v>2588</v>
      </c>
    </row>
    <row r="462" spans="1:45" x14ac:dyDescent="0.25">
      <c r="A462">
        <v>56</v>
      </c>
      <c r="B462" t="str">
        <f>VLOOKUP(A462,'model groups'!$A$3:$C$86,2,FALSE)</f>
        <v>sardine herring scad</v>
      </c>
      <c r="C462" t="s">
        <v>1403</v>
      </c>
      <c r="D462" t="s">
        <v>1404</v>
      </c>
      <c r="E462" t="s">
        <v>1404</v>
      </c>
      <c r="G462" t="s">
        <v>195</v>
      </c>
      <c r="H462" t="s">
        <v>1380</v>
      </c>
      <c r="I462" t="s">
        <v>1381</v>
      </c>
      <c r="J462" t="s">
        <v>1405</v>
      </c>
      <c r="K462" t="s">
        <v>1406</v>
      </c>
      <c r="L462">
        <v>1.050794413</v>
      </c>
      <c r="M462">
        <v>9.1395167935000003</v>
      </c>
      <c r="N462">
        <v>28.79</v>
      </c>
      <c r="O462">
        <v>3.22</v>
      </c>
      <c r="P462">
        <v>25.26</v>
      </c>
      <c r="Q462">
        <v>1.5911599999999999</v>
      </c>
      <c r="R462" t="s">
        <v>50</v>
      </c>
      <c r="S462" t="s">
        <v>51</v>
      </c>
      <c r="T462" t="str">
        <f t="shared" si="14"/>
        <v>no</v>
      </c>
      <c r="U462" s="1">
        <v>0</v>
      </c>
      <c r="V462" s="1">
        <v>0</v>
      </c>
      <c r="W462" s="1">
        <v>0</v>
      </c>
      <c r="X462" s="1">
        <v>0</v>
      </c>
      <c r="Y462" s="1">
        <v>0</v>
      </c>
      <c r="Z462" s="1">
        <v>0</v>
      </c>
      <c r="AA462" s="1">
        <v>0</v>
      </c>
      <c r="AB462" s="1">
        <v>1</v>
      </c>
      <c r="AC462">
        <v>0</v>
      </c>
      <c r="AD462">
        <v>0</v>
      </c>
      <c r="AE462">
        <v>0</v>
      </c>
      <c r="AF462">
        <v>1</v>
      </c>
      <c r="AG462">
        <v>1</v>
      </c>
      <c r="AH462">
        <v>0</v>
      </c>
      <c r="AI462">
        <v>0</v>
      </c>
      <c r="AJ462">
        <v>0</v>
      </c>
      <c r="AK462">
        <v>0</v>
      </c>
      <c r="AL462">
        <v>0</v>
      </c>
      <c r="AM462">
        <v>1</v>
      </c>
      <c r="AN462">
        <v>0</v>
      </c>
      <c r="AO462">
        <v>0</v>
      </c>
      <c r="AP462">
        <v>0</v>
      </c>
      <c r="AQ462">
        <v>1</v>
      </c>
      <c r="AR462">
        <v>19</v>
      </c>
      <c r="AS462" t="s">
        <v>2588</v>
      </c>
    </row>
    <row r="463" spans="1:45" x14ac:dyDescent="0.25">
      <c r="A463">
        <v>56</v>
      </c>
      <c r="B463" t="str">
        <f>VLOOKUP(A463,'model groups'!$A$3:$C$86,2,FALSE)</f>
        <v>sardine herring scad</v>
      </c>
      <c r="D463" t="s">
        <v>1407</v>
      </c>
      <c r="E463" t="s">
        <v>1407</v>
      </c>
      <c r="G463" t="s">
        <v>195</v>
      </c>
      <c r="H463" t="s">
        <v>1380</v>
      </c>
      <c r="I463" t="s">
        <v>1381</v>
      </c>
      <c r="T463" t="str">
        <f t="shared" si="14"/>
        <v>no</v>
      </c>
      <c r="U463" s="1"/>
      <c r="V463" s="1"/>
      <c r="W463" s="1"/>
      <c r="X463" s="1"/>
      <c r="Y463" s="1"/>
      <c r="Z463" s="1"/>
      <c r="AA463" s="1"/>
      <c r="AB463" s="1"/>
      <c r="AG463">
        <v>0</v>
      </c>
      <c r="AH463">
        <v>0</v>
      </c>
      <c r="AI463">
        <v>0</v>
      </c>
      <c r="AJ463">
        <v>0</v>
      </c>
      <c r="AK463">
        <v>0</v>
      </c>
      <c r="AL463">
        <v>0</v>
      </c>
      <c r="AM463">
        <v>0</v>
      </c>
      <c r="AN463">
        <v>0</v>
      </c>
      <c r="AO463">
        <v>1</v>
      </c>
      <c r="AP463">
        <v>0</v>
      </c>
      <c r="AQ463">
        <v>1</v>
      </c>
      <c r="AR463">
        <v>19</v>
      </c>
      <c r="AS463" t="s">
        <v>2588</v>
      </c>
    </row>
    <row r="464" spans="1:45" x14ac:dyDescent="0.25">
      <c r="A464">
        <v>56</v>
      </c>
      <c r="B464" t="str">
        <f>VLOOKUP(A464,'model groups'!$A$3:$C$86,2,FALSE)</f>
        <v>sardine herring scad</v>
      </c>
      <c r="D464" t="s">
        <v>1408</v>
      </c>
      <c r="E464" t="s">
        <v>1409</v>
      </c>
      <c r="G464" t="s">
        <v>195</v>
      </c>
      <c r="T464" t="str">
        <f t="shared" si="14"/>
        <v>reef</v>
      </c>
      <c r="U464" s="1"/>
      <c r="V464" s="1"/>
      <c r="W464" s="1"/>
      <c r="X464" s="1"/>
      <c r="Y464" s="1"/>
      <c r="Z464" s="1"/>
      <c r="AA464" s="1"/>
      <c r="AB464" s="1"/>
      <c r="AG464">
        <v>0</v>
      </c>
      <c r="AH464">
        <v>0</v>
      </c>
      <c r="AI464">
        <v>0</v>
      </c>
      <c r="AJ464">
        <v>0</v>
      </c>
      <c r="AK464">
        <v>1</v>
      </c>
      <c r="AL464">
        <v>0</v>
      </c>
      <c r="AM464">
        <v>0</v>
      </c>
      <c r="AN464">
        <v>0</v>
      </c>
      <c r="AO464">
        <v>0</v>
      </c>
      <c r="AP464">
        <v>0</v>
      </c>
      <c r="AQ464">
        <v>0</v>
      </c>
      <c r="AR464">
        <v>19</v>
      </c>
      <c r="AS464" t="s">
        <v>2588</v>
      </c>
    </row>
    <row r="465" spans="1:45" x14ac:dyDescent="0.25">
      <c r="A465">
        <v>57</v>
      </c>
      <c r="B465" t="str">
        <f>VLOOKUP(A465,'model groups'!$A$3:$C$86,2,FALSE)</f>
        <v>nearshore small pelagics</v>
      </c>
      <c r="C465" t="s">
        <v>1410</v>
      </c>
      <c r="D465" t="s">
        <v>1411</v>
      </c>
      <c r="E465" t="s">
        <v>1411</v>
      </c>
      <c r="G465" t="s">
        <v>241</v>
      </c>
      <c r="H465" t="s">
        <v>1412</v>
      </c>
      <c r="I465" t="s">
        <v>1413</v>
      </c>
      <c r="J465" t="s">
        <v>1414</v>
      </c>
      <c r="AR465">
        <v>19</v>
      </c>
      <c r="AS465" t="s">
        <v>2588</v>
      </c>
    </row>
    <row r="466" spans="1:45" x14ac:dyDescent="0.25">
      <c r="A466">
        <v>57</v>
      </c>
      <c r="B466" t="str">
        <f>VLOOKUP(A466,'model groups'!$A$3:$C$86,2,FALSE)</f>
        <v>nearshore small pelagics</v>
      </c>
      <c r="D466" t="s">
        <v>1415</v>
      </c>
      <c r="E466" t="s">
        <v>1416</v>
      </c>
      <c r="G466" t="s">
        <v>195</v>
      </c>
      <c r="H466" t="s">
        <v>1412</v>
      </c>
      <c r="I466" t="s">
        <v>1413</v>
      </c>
      <c r="J466" t="s">
        <v>1417</v>
      </c>
      <c r="T466" t="str">
        <f>IF(OR(AK466=1,AN466=1),"reef","no")</f>
        <v>no</v>
      </c>
      <c r="U466" s="1"/>
      <c r="V466" s="1"/>
      <c r="W466" s="1"/>
      <c r="X466" s="1"/>
      <c r="Y466" s="1"/>
      <c r="Z466" s="1"/>
      <c r="AA466" s="1"/>
      <c r="AB466" s="1"/>
      <c r="AG466">
        <v>0</v>
      </c>
      <c r="AH466">
        <v>0</v>
      </c>
      <c r="AI466">
        <v>0</v>
      </c>
      <c r="AJ466">
        <v>0</v>
      </c>
      <c r="AK466">
        <v>0</v>
      </c>
      <c r="AL466">
        <v>1</v>
      </c>
      <c r="AM466">
        <v>0</v>
      </c>
      <c r="AN466">
        <v>0</v>
      </c>
      <c r="AO466">
        <v>0</v>
      </c>
      <c r="AP466">
        <v>0</v>
      </c>
      <c r="AQ466">
        <v>0</v>
      </c>
      <c r="AR466">
        <v>19</v>
      </c>
      <c r="AS466" t="s">
        <v>2588</v>
      </c>
    </row>
    <row r="467" spans="1:45" x14ac:dyDescent="0.25">
      <c r="A467">
        <v>57</v>
      </c>
      <c r="B467" t="str">
        <f>VLOOKUP(A467,'model groups'!$A$3:$C$86,2,FALSE)</f>
        <v>nearshore small pelagics</v>
      </c>
      <c r="C467" t="s">
        <v>1418</v>
      </c>
      <c r="D467" t="s">
        <v>1419</v>
      </c>
      <c r="E467" t="s">
        <v>1419</v>
      </c>
      <c r="G467" t="s">
        <v>241</v>
      </c>
      <c r="H467" t="s">
        <v>1412</v>
      </c>
      <c r="I467" t="s">
        <v>1413</v>
      </c>
      <c r="J467" t="s">
        <v>1417</v>
      </c>
      <c r="AR467">
        <v>19</v>
      </c>
      <c r="AS467" t="s">
        <v>2588</v>
      </c>
    </row>
    <row r="468" spans="1:45" x14ac:dyDescent="0.25">
      <c r="A468">
        <v>57</v>
      </c>
      <c r="B468" t="str">
        <f>VLOOKUP(A468,'model groups'!$A$3:$C$86,2,FALSE)</f>
        <v>nearshore small pelagics</v>
      </c>
      <c r="C468" t="s">
        <v>1420</v>
      </c>
      <c r="D468" t="s">
        <v>1421</v>
      </c>
      <c r="E468" t="s">
        <v>1421</v>
      </c>
      <c r="G468" t="s">
        <v>241</v>
      </c>
      <c r="H468" t="s">
        <v>1412</v>
      </c>
      <c r="I468" t="s">
        <v>1413</v>
      </c>
      <c r="J468" t="s">
        <v>1417</v>
      </c>
      <c r="AR468">
        <v>19</v>
      </c>
      <c r="AS468" t="s">
        <v>2588</v>
      </c>
    </row>
    <row r="469" spans="1:45" x14ac:dyDescent="0.25">
      <c r="A469">
        <v>57</v>
      </c>
      <c r="B469" t="str">
        <f>VLOOKUP(A469,'model groups'!$A$3:$C$86,2,FALSE)</f>
        <v>nearshore small pelagics</v>
      </c>
      <c r="C469" t="s">
        <v>1422</v>
      </c>
      <c r="D469" t="s">
        <v>1423</v>
      </c>
      <c r="E469" t="s">
        <v>1423</v>
      </c>
      <c r="G469" t="s">
        <v>195</v>
      </c>
      <c r="H469" t="s">
        <v>1380</v>
      </c>
      <c r="I469" t="s">
        <v>1424</v>
      </c>
      <c r="J469" t="s">
        <v>1425</v>
      </c>
      <c r="K469" t="s">
        <v>1426</v>
      </c>
      <c r="L469">
        <v>1.4199018880000001</v>
      </c>
      <c r="M469">
        <v>15.95985894</v>
      </c>
      <c r="N469">
        <v>16.212680979999998</v>
      </c>
      <c r="O469">
        <v>3.27</v>
      </c>
      <c r="P469">
        <v>16.489999999999998</v>
      </c>
      <c r="Q469">
        <v>2.8800300000000001</v>
      </c>
      <c r="R469" t="s">
        <v>50</v>
      </c>
      <c r="S469" t="s">
        <v>51</v>
      </c>
      <c r="T469" t="str">
        <f t="shared" ref="T469:T479" si="15">IF(OR(AK469=1,AN469=1),"reef","no")</f>
        <v>no</v>
      </c>
      <c r="U469" s="1">
        <v>1.0000667096272094E-3</v>
      </c>
      <c r="V469" s="1">
        <v>0.17514501467392934</v>
      </c>
      <c r="W469" s="1">
        <v>3.7002468046192748E-2</v>
      </c>
      <c r="X469" s="1">
        <v>0</v>
      </c>
      <c r="Y469" s="1">
        <v>0</v>
      </c>
      <c r="Z469" s="1">
        <v>0</v>
      </c>
      <c r="AA469" s="1">
        <v>6.3204212850226427E-2</v>
      </c>
      <c r="AB469" s="1">
        <v>0.72364823772002429</v>
      </c>
      <c r="AC469">
        <v>0</v>
      </c>
      <c r="AD469">
        <v>0</v>
      </c>
      <c r="AE469">
        <v>0</v>
      </c>
      <c r="AF469">
        <v>0</v>
      </c>
      <c r="AG469">
        <v>0</v>
      </c>
      <c r="AH469">
        <v>0</v>
      </c>
      <c r="AI469">
        <v>0</v>
      </c>
      <c r="AJ469">
        <v>0</v>
      </c>
      <c r="AK469">
        <v>0</v>
      </c>
      <c r="AL469">
        <v>0</v>
      </c>
      <c r="AM469">
        <v>1</v>
      </c>
      <c r="AN469">
        <v>0</v>
      </c>
      <c r="AO469">
        <v>0</v>
      </c>
      <c r="AP469">
        <v>0</v>
      </c>
      <c r="AQ469">
        <v>0</v>
      </c>
      <c r="AR469">
        <v>19</v>
      </c>
      <c r="AS469" t="s">
        <v>2588</v>
      </c>
    </row>
    <row r="470" spans="1:45" x14ac:dyDescent="0.25">
      <c r="A470">
        <v>57</v>
      </c>
      <c r="B470" t="str">
        <f>VLOOKUP(A470,'model groups'!$A$3:$C$86,2,FALSE)</f>
        <v>nearshore small pelagics</v>
      </c>
      <c r="C470" t="s">
        <v>1427</v>
      </c>
      <c r="D470" t="s">
        <v>1428</v>
      </c>
      <c r="E470" t="s">
        <v>1428</v>
      </c>
      <c r="G470" t="s">
        <v>195</v>
      </c>
      <c r="H470" t="s">
        <v>1380</v>
      </c>
      <c r="I470" t="s">
        <v>1424</v>
      </c>
      <c r="J470" t="s">
        <v>1425</v>
      </c>
      <c r="K470" t="s">
        <v>1429</v>
      </c>
      <c r="L470">
        <v>0.96293200000000001</v>
      </c>
      <c r="M470">
        <v>25.573117535000002</v>
      </c>
      <c r="N470">
        <v>10.7</v>
      </c>
      <c r="O470">
        <v>3.46</v>
      </c>
      <c r="P470">
        <v>23.1</v>
      </c>
      <c r="Q470">
        <v>3.39229</v>
      </c>
      <c r="R470" t="s">
        <v>50</v>
      </c>
      <c r="S470" t="s">
        <v>51</v>
      </c>
      <c r="T470" t="str">
        <f t="shared" si="15"/>
        <v>no</v>
      </c>
      <c r="U470" s="1">
        <v>0</v>
      </c>
      <c r="V470" s="1">
        <v>0</v>
      </c>
      <c r="W470" s="1">
        <v>0</v>
      </c>
      <c r="X470" s="1">
        <v>0</v>
      </c>
      <c r="Y470" s="1">
        <v>0</v>
      </c>
      <c r="Z470" s="1">
        <v>0</v>
      </c>
      <c r="AA470" s="1">
        <v>0</v>
      </c>
      <c r="AB470" s="1">
        <v>1</v>
      </c>
      <c r="AC470">
        <v>1</v>
      </c>
      <c r="AD470">
        <v>0</v>
      </c>
      <c r="AE470">
        <v>1</v>
      </c>
      <c r="AF470">
        <v>0</v>
      </c>
      <c r="AG470">
        <v>0</v>
      </c>
      <c r="AH470">
        <v>0</v>
      </c>
      <c r="AI470">
        <v>0</v>
      </c>
      <c r="AJ470">
        <v>0</v>
      </c>
      <c r="AK470">
        <v>0</v>
      </c>
      <c r="AL470">
        <v>1</v>
      </c>
      <c r="AM470">
        <v>0</v>
      </c>
      <c r="AN470">
        <v>0</v>
      </c>
      <c r="AO470">
        <v>0</v>
      </c>
      <c r="AP470">
        <v>0</v>
      </c>
      <c r="AQ470">
        <v>0</v>
      </c>
      <c r="AR470">
        <v>19</v>
      </c>
      <c r="AS470" t="s">
        <v>2588</v>
      </c>
    </row>
    <row r="471" spans="1:45" x14ac:dyDescent="0.25">
      <c r="A471">
        <v>58</v>
      </c>
      <c r="B471" t="str">
        <f>VLOOKUP(A471,'model groups'!$A$3:$C$86,2,FALSE)</f>
        <v>offshore small pelagics</v>
      </c>
      <c r="C471" t="s">
        <v>1430</v>
      </c>
      <c r="D471" t="s">
        <v>1431</v>
      </c>
      <c r="E471" t="s">
        <v>1431</v>
      </c>
      <c r="G471" t="s">
        <v>195</v>
      </c>
      <c r="H471" t="s">
        <v>196</v>
      </c>
      <c r="I471" t="s">
        <v>197</v>
      </c>
      <c r="J471" t="s">
        <v>1432</v>
      </c>
      <c r="K471" t="s">
        <v>1433</v>
      </c>
      <c r="L471">
        <v>0.56745403400000005</v>
      </c>
      <c r="M471">
        <v>14.496480529999999</v>
      </c>
      <c r="N471">
        <v>67.311308679999996</v>
      </c>
      <c r="O471">
        <v>3.4333333330000002</v>
      </c>
      <c r="P471">
        <v>27.78</v>
      </c>
      <c r="Q471">
        <v>3.2417899999999999</v>
      </c>
      <c r="R471" t="s">
        <v>50</v>
      </c>
      <c r="S471" t="s">
        <v>51</v>
      </c>
      <c r="T471" t="str">
        <f t="shared" si="15"/>
        <v>reef</v>
      </c>
      <c r="U471" s="1">
        <v>1.1299999915196E-2</v>
      </c>
      <c r="V471" s="1">
        <v>0.217150003231178</v>
      </c>
      <c r="W471" s="1">
        <v>0.60354999354106609</v>
      </c>
      <c r="X471" s="1">
        <v>0</v>
      </c>
      <c r="Y471" s="1">
        <v>0</v>
      </c>
      <c r="Z471" s="1">
        <v>0</v>
      </c>
      <c r="AA471" s="1">
        <v>7.5000002768999994E-4</v>
      </c>
      <c r="AB471" s="1">
        <v>0.16725000328487</v>
      </c>
      <c r="AC471">
        <v>1</v>
      </c>
      <c r="AD471">
        <v>0</v>
      </c>
      <c r="AE471">
        <v>0</v>
      </c>
      <c r="AF471">
        <v>0</v>
      </c>
      <c r="AG471">
        <v>1</v>
      </c>
      <c r="AH471">
        <v>0</v>
      </c>
      <c r="AI471">
        <v>0</v>
      </c>
      <c r="AJ471">
        <v>0</v>
      </c>
      <c r="AK471">
        <v>1</v>
      </c>
      <c r="AL471">
        <v>0</v>
      </c>
      <c r="AM471">
        <v>1</v>
      </c>
      <c r="AN471">
        <v>0</v>
      </c>
      <c r="AO471">
        <v>0</v>
      </c>
      <c r="AP471">
        <v>0</v>
      </c>
      <c r="AQ471">
        <v>0</v>
      </c>
      <c r="AR471">
        <v>19</v>
      </c>
      <c r="AS471" t="s">
        <v>2588</v>
      </c>
    </row>
    <row r="472" spans="1:45" x14ac:dyDescent="0.25">
      <c r="A472">
        <v>58</v>
      </c>
      <c r="B472" t="str">
        <f>VLOOKUP(A472,'model groups'!$A$3:$C$86,2,FALSE)</f>
        <v>offshore small pelagics</v>
      </c>
      <c r="C472" t="s">
        <v>1434</v>
      </c>
      <c r="D472" t="s">
        <v>1435</v>
      </c>
      <c r="E472" t="s">
        <v>1435</v>
      </c>
      <c r="G472" t="s">
        <v>195</v>
      </c>
      <c r="H472" t="s">
        <v>196</v>
      </c>
      <c r="I472" t="s">
        <v>197</v>
      </c>
      <c r="J472" t="s">
        <v>1436</v>
      </c>
      <c r="K472" t="s">
        <v>1437</v>
      </c>
      <c r="L472">
        <v>0.84022107700000004</v>
      </c>
      <c r="M472">
        <v>13.03918797</v>
      </c>
      <c r="N472">
        <v>36.603057360000001</v>
      </c>
      <c r="O472">
        <v>4.0433333329999996</v>
      </c>
      <c r="P472">
        <v>25.45</v>
      </c>
      <c r="Q472">
        <v>3.3526099999999999</v>
      </c>
      <c r="R472" t="s">
        <v>50</v>
      </c>
      <c r="S472" t="s">
        <v>77</v>
      </c>
      <c r="T472" t="str">
        <f t="shared" si="15"/>
        <v>no</v>
      </c>
      <c r="U472" s="1">
        <v>0.40034889512670901</v>
      </c>
      <c r="V472" s="1">
        <v>3.5111501038770426E-3</v>
      </c>
      <c r="W472" s="1">
        <v>2.0000223344882951E-4</v>
      </c>
      <c r="X472" s="1">
        <v>0</v>
      </c>
      <c r="Y472" s="1">
        <v>0</v>
      </c>
      <c r="Z472" s="1">
        <v>0</v>
      </c>
      <c r="AA472" s="1">
        <v>0</v>
      </c>
      <c r="AB472" s="1">
        <v>0.5959399525359651</v>
      </c>
      <c r="AC472">
        <v>1</v>
      </c>
      <c r="AD472">
        <v>0</v>
      </c>
      <c r="AE472">
        <v>0</v>
      </c>
      <c r="AF472">
        <v>1</v>
      </c>
      <c r="AG472">
        <v>0</v>
      </c>
      <c r="AH472">
        <v>0</v>
      </c>
      <c r="AI472">
        <v>0</v>
      </c>
      <c r="AJ472">
        <v>0</v>
      </c>
      <c r="AK472">
        <v>0</v>
      </c>
      <c r="AL472">
        <v>0</v>
      </c>
      <c r="AM472">
        <v>1</v>
      </c>
      <c r="AN472">
        <v>0</v>
      </c>
      <c r="AO472">
        <v>0</v>
      </c>
      <c r="AP472">
        <v>0</v>
      </c>
      <c r="AQ472">
        <v>0</v>
      </c>
      <c r="AR472">
        <v>19</v>
      </c>
      <c r="AS472" t="s">
        <v>2588</v>
      </c>
    </row>
    <row r="473" spans="1:45" x14ac:dyDescent="0.25">
      <c r="A473">
        <v>58</v>
      </c>
      <c r="B473" t="str">
        <f>VLOOKUP(A473,'model groups'!$A$3:$C$86,2,FALSE)</f>
        <v>offshore small pelagics</v>
      </c>
      <c r="D473" t="s">
        <v>1438</v>
      </c>
      <c r="E473" t="s">
        <v>1439</v>
      </c>
      <c r="G473" t="s">
        <v>195</v>
      </c>
      <c r="H473" t="s">
        <v>209</v>
      </c>
      <c r="I473" t="s">
        <v>197</v>
      </c>
      <c r="J473" t="s">
        <v>1375</v>
      </c>
      <c r="T473" t="str">
        <f t="shared" si="15"/>
        <v>reef</v>
      </c>
      <c r="U473" s="1"/>
      <c r="V473" s="1"/>
      <c r="W473" s="1"/>
      <c r="X473" s="1"/>
      <c r="Y473" s="1"/>
      <c r="Z473" s="1"/>
      <c r="AA473" s="1"/>
      <c r="AB473" s="1"/>
      <c r="AG473">
        <v>0</v>
      </c>
      <c r="AH473">
        <v>0</v>
      </c>
      <c r="AI473">
        <v>0</v>
      </c>
      <c r="AJ473">
        <v>0</v>
      </c>
      <c r="AK473">
        <v>1</v>
      </c>
      <c r="AL473">
        <v>0</v>
      </c>
      <c r="AM473">
        <v>0</v>
      </c>
      <c r="AN473">
        <v>0</v>
      </c>
      <c r="AO473">
        <v>0</v>
      </c>
      <c r="AP473">
        <v>0</v>
      </c>
      <c r="AQ473">
        <v>0</v>
      </c>
      <c r="AR473">
        <v>19</v>
      </c>
      <c r="AS473" t="s">
        <v>2588</v>
      </c>
    </row>
    <row r="474" spans="1:45" x14ac:dyDescent="0.25">
      <c r="A474">
        <v>58</v>
      </c>
      <c r="B474" t="str">
        <f>VLOOKUP(A474,'model groups'!$A$3:$C$86,2,FALSE)</f>
        <v>offshore small pelagics</v>
      </c>
      <c r="C474" t="s">
        <v>1440</v>
      </c>
      <c r="D474" t="s">
        <v>1441</v>
      </c>
      <c r="E474" t="s">
        <v>1441</v>
      </c>
      <c r="G474" t="s">
        <v>195</v>
      </c>
      <c r="H474" t="s">
        <v>1442</v>
      </c>
      <c r="I474" t="s">
        <v>1443</v>
      </c>
      <c r="J474" t="s">
        <v>1444</v>
      </c>
      <c r="K474" t="s">
        <v>1445</v>
      </c>
      <c r="L474">
        <v>1.145916682</v>
      </c>
      <c r="M474">
        <v>17.973377984999999</v>
      </c>
      <c r="N474">
        <v>57.107207330000001</v>
      </c>
      <c r="O474">
        <v>2.5266666670000002</v>
      </c>
      <c r="P474">
        <v>26.97</v>
      </c>
      <c r="Q474">
        <v>2.34456</v>
      </c>
      <c r="R474" t="s">
        <v>70</v>
      </c>
      <c r="S474" t="s">
        <v>77</v>
      </c>
      <c r="T474" t="str">
        <f t="shared" si="15"/>
        <v>no</v>
      </c>
      <c r="U474" s="1">
        <v>9.5000000000000001E-2</v>
      </c>
      <c r="V474" s="1">
        <v>0</v>
      </c>
      <c r="W474" s="1">
        <v>0</v>
      </c>
      <c r="X474" s="1">
        <v>0.90500000000000003</v>
      </c>
      <c r="Y474" s="1">
        <v>0</v>
      </c>
      <c r="Z474" s="1">
        <v>0</v>
      </c>
      <c r="AA474" s="1">
        <v>0</v>
      </c>
      <c r="AB474" s="1">
        <v>0</v>
      </c>
      <c r="AC474">
        <v>0</v>
      </c>
      <c r="AD474">
        <v>0</v>
      </c>
      <c r="AE474">
        <v>0</v>
      </c>
      <c r="AF474">
        <v>0</v>
      </c>
      <c r="AG474">
        <v>0</v>
      </c>
      <c r="AH474">
        <v>0</v>
      </c>
      <c r="AI474">
        <v>0</v>
      </c>
      <c r="AJ474">
        <v>0</v>
      </c>
      <c r="AK474">
        <v>0</v>
      </c>
      <c r="AL474">
        <v>0</v>
      </c>
      <c r="AM474">
        <v>0</v>
      </c>
      <c r="AN474">
        <v>0</v>
      </c>
      <c r="AO474">
        <v>1</v>
      </c>
      <c r="AP474">
        <v>0</v>
      </c>
      <c r="AQ474">
        <v>1</v>
      </c>
      <c r="AR474">
        <v>19</v>
      </c>
      <c r="AS474" t="s">
        <v>2588</v>
      </c>
    </row>
    <row r="475" spans="1:45" x14ac:dyDescent="0.25">
      <c r="A475">
        <v>58</v>
      </c>
      <c r="B475" t="str">
        <f>VLOOKUP(A475,'model groups'!$A$3:$C$86,2,FALSE)</f>
        <v>offshore small pelagics</v>
      </c>
      <c r="C475" t="s">
        <v>1446</v>
      </c>
      <c r="D475" t="s">
        <v>1447</v>
      </c>
      <c r="E475" t="s">
        <v>1447</v>
      </c>
      <c r="G475" t="s">
        <v>195</v>
      </c>
      <c r="H475" t="s">
        <v>196</v>
      </c>
      <c r="I475" t="s">
        <v>1448</v>
      </c>
      <c r="J475" t="s">
        <v>1449</v>
      </c>
      <c r="K475" t="s">
        <v>1450</v>
      </c>
      <c r="L475">
        <v>2.25</v>
      </c>
      <c r="M475">
        <v>17.279551545</v>
      </c>
      <c r="N475">
        <v>26.285289379999998</v>
      </c>
      <c r="O475">
        <v>4</v>
      </c>
      <c r="P475">
        <v>12.47</v>
      </c>
      <c r="Q475">
        <v>2.6163425</v>
      </c>
      <c r="R475" t="s">
        <v>70</v>
      </c>
      <c r="S475" t="s">
        <v>51</v>
      </c>
      <c r="T475" t="str">
        <f t="shared" si="15"/>
        <v>no</v>
      </c>
      <c r="U475" s="1">
        <v>2.1428572029357144E-4</v>
      </c>
      <c r="V475" s="1">
        <v>1.8571427925442858E-3</v>
      </c>
      <c r="W475" s="1">
        <v>0.45928571352922143</v>
      </c>
      <c r="X475" s="1">
        <v>0</v>
      </c>
      <c r="Y475" s="1">
        <v>0</v>
      </c>
      <c r="Z475" s="1">
        <v>0.32371428609348851</v>
      </c>
      <c r="AA475" s="1">
        <v>0.19685714330969431</v>
      </c>
      <c r="AB475" s="1">
        <v>1.8071428554757858E-2</v>
      </c>
      <c r="AC475">
        <v>1</v>
      </c>
      <c r="AD475">
        <v>0</v>
      </c>
      <c r="AE475">
        <v>0</v>
      </c>
      <c r="AF475">
        <v>0</v>
      </c>
      <c r="AG475">
        <v>0</v>
      </c>
      <c r="AH475">
        <v>0</v>
      </c>
      <c r="AI475">
        <v>0</v>
      </c>
      <c r="AJ475">
        <v>0</v>
      </c>
      <c r="AK475">
        <v>0</v>
      </c>
      <c r="AL475">
        <v>0</v>
      </c>
      <c r="AM475">
        <v>1</v>
      </c>
      <c r="AN475">
        <v>0</v>
      </c>
      <c r="AO475">
        <v>0</v>
      </c>
      <c r="AP475">
        <v>0</v>
      </c>
      <c r="AQ475">
        <v>0</v>
      </c>
      <c r="AR475">
        <v>19</v>
      </c>
      <c r="AS475" t="s">
        <v>2588</v>
      </c>
    </row>
    <row r="476" spans="1:45" x14ac:dyDescent="0.25">
      <c r="A476">
        <v>58</v>
      </c>
      <c r="B476" t="str">
        <f>VLOOKUP(A476,'model groups'!$A$3:$C$86,2,FALSE)</f>
        <v>offshore small pelagics</v>
      </c>
      <c r="C476" t="s">
        <v>1451</v>
      </c>
      <c r="D476" t="s">
        <v>1452</v>
      </c>
      <c r="E476" t="s">
        <v>1452</v>
      </c>
      <c r="G476" t="s">
        <v>195</v>
      </c>
      <c r="H476" t="s">
        <v>196</v>
      </c>
      <c r="I476" t="s">
        <v>1448</v>
      </c>
      <c r="J476" t="s">
        <v>1449</v>
      </c>
      <c r="K476" t="s">
        <v>1453</v>
      </c>
      <c r="L476">
        <v>0.92649175900000003</v>
      </c>
      <c r="M476">
        <v>15.426289110000001</v>
      </c>
      <c r="N476">
        <v>31.451041149999998</v>
      </c>
      <c r="O476">
        <v>4.1849999999999996</v>
      </c>
      <c r="P476">
        <v>17.39</v>
      </c>
      <c r="Q476">
        <v>2.3991150000000001</v>
      </c>
      <c r="R476" t="s">
        <v>50</v>
      </c>
      <c r="S476" t="s">
        <v>51</v>
      </c>
      <c r="T476" t="str">
        <f t="shared" si="15"/>
        <v>no</v>
      </c>
      <c r="U476" s="1">
        <v>0</v>
      </c>
      <c r="V476" s="1">
        <v>0</v>
      </c>
      <c r="W476" s="1">
        <v>0.5</v>
      </c>
      <c r="X476" s="1">
        <v>0</v>
      </c>
      <c r="Y476" s="1">
        <v>0</v>
      </c>
      <c r="Z476" s="1">
        <v>0.5</v>
      </c>
      <c r="AA476" s="1">
        <v>0</v>
      </c>
      <c r="AB476" s="1">
        <v>0</v>
      </c>
      <c r="AC476">
        <v>0</v>
      </c>
      <c r="AD476">
        <v>0</v>
      </c>
      <c r="AE476">
        <v>0</v>
      </c>
      <c r="AF476">
        <v>0</v>
      </c>
      <c r="AG476">
        <v>0</v>
      </c>
      <c r="AH476">
        <v>0</v>
      </c>
      <c r="AI476">
        <v>0</v>
      </c>
      <c r="AJ476">
        <v>0</v>
      </c>
      <c r="AK476">
        <v>0</v>
      </c>
      <c r="AL476">
        <v>0</v>
      </c>
      <c r="AM476">
        <v>1</v>
      </c>
      <c r="AN476">
        <v>0</v>
      </c>
      <c r="AO476">
        <v>0</v>
      </c>
      <c r="AP476">
        <v>0</v>
      </c>
      <c r="AQ476">
        <v>0</v>
      </c>
      <c r="AR476">
        <v>19</v>
      </c>
      <c r="AS476" t="s">
        <v>2588</v>
      </c>
    </row>
    <row r="477" spans="1:45" x14ac:dyDescent="0.25">
      <c r="A477">
        <v>58</v>
      </c>
      <c r="B477" t="str">
        <f>VLOOKUP(A477,'model groups'!$A$3:$C$86,2,FALSE)</f>
        <v>offshore small pelagics</v>
      </c>
      <c r="C477" t="s">
        <v>1454</v>
      </c>
      <c r="D477" t="s">
        <v>1455</v>
      </c>
      <c r="E477" t="s">
        <v>1455</v>
      </c>
      <c r="G477" t="s">
        <v>195</v>
      </c>
      <c r="H477" t="s">
        <v>196</v>
      </c>
      <c r="I477" t="s">
        <v>1448</v>
      </c>
      <c r="J477" t="s">
        <v>1449</v>
      </c>
      <c r="K477" t="s">
        <v>1456</v>
      </c>
      <c r="L477">
        <v>1.6415897269999999</v>
      </c>
      <c r="M477">
        <v>21.171409205</v>
      </c>
      <c r="N477">
        <v>18.3</v>
      </c>
      <c r="O477">
        <v>3.8533333330000001</v>
      </c>
      <c r="P477">
        <v>20.52</v>
      </c>
      <c r="Q477">
        <v>2.8335699999999999</v>
      </c>
      <c r="R477" t="s">
        <v>50</v>
      </c>
      <c r="S477" t="s">
        <v>51</v>
      </c>
      <c r="T477" t="str">
        <f t="shared" si="15"/>
        <v>no</v>
      </c>
      <c r="U477">
        <v>4.2857145111857098E-4</v>
      </c>
      <c r="V477">
        <v>3.7142855896942898E-3</v>
      </c>
      <c r="W477">
        <v>0.41857142689247101</v>
      </c>
      <c r="X477">
        <v>0</v>
      </c>
      <c r="Y477">
        <v>0</v>
      </c>
      <c r="Z477">
        <v>0.14742857167478901</v>
      </c>
      <c r="AA477">
        <v>0.39371428721759399</v>
      </c>
      <c r="AB477">
        <v>3.6142857174332903E-2</v>
      </c>
      <c r="AC477">
        <v>0</v>
      </c>
      <c r="AD477">
        <v>0</v>
      </c>
      <c r="AE477" t="s">
        <v>231</v>
      </c>
      <c r="AF477" t="s">
        <v>231</v>
      </c>
      <c r="AG477">
        <v>0</v>
      </c>
      <c r="AH477">
        <v>0</v>
      </c>
      <c r="AI477">
        <v>0</v>
      </c>
      <c r="AJ477">
        <v>0</v>
      </c>
      <c r="AK477">
        <v>0</v>
      </c>
      <c r="AL477">
        <v>0</v>
      </c>
      <c r="AM477">
        <v>0</v>
      </c>
      <c r="AN477">
        <v>0</v>
      </c>
      <c r="AO477">
        <v>0</v>
      </c>
      <c r="AP477">
        <v>0</v>
      </c>
      <c r="AQ477">
        <v>1</v>
      </c>
      <c r="AR477">
        <v>19</v>
      </c>
      <c r="AS477" t="s">
        <v>2588</v>
      </c>
    </row>
    <row r="478" spans="1:45" x14ac:dyDescent="0.25">
      <c r="A478">
        <v>59</v>
      </c>
      <c r="B478" t="str">
        <f>VLOOKUP(A478,'model groups'!$A$3:$C$86,2,FALSE)</f>
        <v>mullet</v>
      </c>
      <c r="C478" t="s">
        <v>1457</v>
      </c>
      <c r="D478" t="s">
        <v>1458</v>
      </c>
      <c r="E478" t="s">
        <v>1458</v>
      </c>
      <c r="G478" t="s">
        <v>195</v>
      </c>
      <c r="H478" t="s">
        <v>1459</v>
      </c>
      <c r="I478" t="s">
        <v>1460</v>
      </c>
      <c r="J478" t="s">
        <v>1461</v>
      </c>
      <c r="K478" t="s">
        <v>1462</v>
      </c>
      <c r="L478">
        <v>0.72957577900000004</v>
      </c>
      <c r="M478">
        <v>11.474978105</v>
      </c>
      <c r="N478">
        <v>47.825000000000003</v>
      </c>
      <c r="O478">
        <v>2.31</v>
      </c>
      <c r="P478">
        <v>50.23</v>
      </c>
      <c r="Q478">
        <v>2.2794949999999998</v>
      </c>
      <c r="R478" t="s">
        <v>50</v>
      </c>
      <c r="S478" t="s">
        <v>51</v>
      </c>
      <c r="T478" t="str">
        <f t="shared" si="15"/>
        <v>no</v>
      </c>
      <c r="U478" s="1">
        <v>0</v>
      </c>
      <c r="V478" s="1">
        <v>6.6667408483580583E-3</v>
      </c>
      <c r="W478" s="1">
        <v>0.13271258554942247</v>
      </c>
      <c r="X478" s="1">
        <v>0.19669107613860878</v>
      </c>
      <c r="Y478" s="1">
        <v>0</v>
      </c>
      <c r="Z478" s="1">
        <v>0</v>
      </c>
      <c r="AA478" s="1">
        <v>7.2100801980039125E-2</v>
      </c>
      <c r="AB478" s="1">
        <v>0.59182879548357148</v>
      </c>
      <c r="AC478">
        <v>1</v>
      </c>
      <c r="AD478">
        <v>1</v>
      </c>
      <c r="AE478">
        <v>0</v>
      </c>
      <c r="AF478">
        <v>1</v>
      </c>
      <c r="AG478">
        <v>0</v>
      </c>
      <c r="AH478">
        <v>0</v>
      </c>
      <c r="AI478">
        <v>0</v>
      </c>
      <c r="AJ478">
        <v>0</v>
      </c>
      <c r="AK478">
        <v>0</v>
      </c>
      <c r="AL478">
        <v>1</v>
      </c>
      <c r="AM478">
        <v>0</v>
      </c>
      <c r="AN478">
        <v>0</v>
      </c>
      <c r="AO478">
        <v>0</v>
      </c>
      <c r="AP478">
        <v>0</v>
      </c>
      <c r="AQ478">
        <v>1</v>
      </c>
      <c r="AR478">
        <v>0</v>
      </c>
      <c r="AS478" t="s">
        <v>2600</v>
      </c>
    </row>
    <row r="479" spans="1:45" x14ac:dyDescent="0.25">
      <c r="A479">
        <v>59</v>
      </c>
      <c r="B479" t="str">
        <f>VLOOKUP(A479,'model groups'!$A$3:$C$86,2,FALSE)</f>
        <v>mullet</v>
      </c>
      <c r="C479" t="s">
        <v>1463</v>
      </c>
      <c r="D479" t="s">
        <v>1464</v>
      </c>
      <c r="E479" t="s">
        <v>1464</v>
      </c>
      <c r="G479" t="s">
        <v>195</v>
      </c>
      <c r="H479" t="s">
        <v>1459</v>
      </c>
      <c r="I479" t="s">
        <v>1460</v>
      </c>
      <c r="J479" t="s">
        <v>1461</v>
      </c>
      <c r="K479" t="s">
        <v>1465</v>
      </c>
      <c r="L479">
        <v>0.24997449999999999</v>
      </c>
      <c r="M479">
        <v>24.72552744</v>
      </c>
      <c r="N479">
        <v>45.5</v>
      </c>
      <c r="O479">
        <v>2.2149999999999999</v>
      </c>
      <c r="P479">
        <v>59.24</v>
      </c>
      <c r="Q479">
        <v>1.90961</v>
      </c>
      <c r="R479" t="s">
        <v>50</v>
      </c>
      <c r="S479" t="s">
        <v>77</v>
      </c>
      <c r="T479" t="str">
        <f t="shared" si="15"/>
        <v>no</v>
      </c>
      <c r="U479">
        <v>0</v>
      </c>
      <c r="V479">
        <v>2.5000000000000001E-3</v>
      </c>
      <c r="W479">
        <v>0.27500000000000002</v>
      </c>
      <c r="X479">
        <v>0.5</v>
      </c>
      <c r="Y479">
        <v>0</v>
      </c>
      <c r="Z479">
        <v>0</v>
      </c>
      <c r="AA479">
        <v>0</v>
      </c>
      <c r="AB479">
        <v>0.2225</v>
      </c>
      <c r="AC479">
        <v>1</v>
      </c>
      <c r="AD479">
        <v>0</v>
      </c>
      <c r="AE479" t="s">
        <v>231</v>
      </c>
      <c r="AF479" t="s">
        <v>361</v>
      </c>
      <c r="AG479">
        <v>0</v>
      </c>
      <c r="AH479">
        <v>0</v>
      </c>
      <c r="AI479">
        <v>0</v>
      </c>
      <c r="AJ479">
        <v>0</v>
      </c>
      <c r="AK479">
        <v>0</v>
      </c>
      <c r="AL479">
        <v>0</v>
      </c>
      <c r="AM479">
        <v>0</v>
      </c>
      <c r="AN479">
        <v>0</v>
      </c>
      <c r="AO479">
        <v>0</v>
      </c>
      <c r="AP479">
        <v>0</v>
      </c>
      <c r="AQ479">
        <v>1</v>
      </c>
      <c r="AR479">
        <v>0</v>
      </c>
      <c r="AS479" t="s">
        <v>2600</v>
      </c>
    </row>
    <row r="480" spans="1:45" x14ac:dyDescent="0.25">
      <c r="A480">
        <v>59</v>
      </c>
      <c r="B480" t="str">
        <f>VLOOKUP(A480,'model groups'!$A$3:$C$86,2,FALSE)</f>
        <v>mullet</v>
      </c>
      <c r="D480" t="s">
        <v>1466</v>
      </c>
      <c r="E480" t="s">
        <v>1466</v>
      </c>
      <c r="G480" t="s">
        <v>241</v>
      </c>
      <c r="H480" t="s">
        <v>1459</v>
      </c>
      <c r="I480" t="s">
        <v>1460</v>
      </c>
      <c r="J480" t="s">
        <v>1461</v>
      </c>
      <c r="K480" t="s">
        <v>1467</v>
      </c>
      <c r="AR480">
        <v>0</v>
      </c>
      <c r="AS480" t="s">
        <v>2600</v>
      </c>
    </row>
    <row r="481" spans="1:45" x14ac:dyDescent="0.25">
      <c r="A481">
        <v>60</v>
      </c>
      <c r="B481" t="str">
        <f>VLOOKUP(A481,'model groups'!$A$3:$C$86,2,FALSE)</f>
        <v>squid</v>
      </c>
      <c r="C481" t="s">
        <v>1468</v>
      </c>
      <c r="D481" t="s">
        <v>1469</v>
      </c>
      <c r="E481" t="s">
        <v>1469</v>
      </c>
      <c r="G481" t="s">
        <v>1470</v>
      </c>
      <c r="H481" t="s">
        <v>1471</v>
      </c>
      <c r="I481" t="s">
        <v>1472</v>
      </c>
      <c r="J481" t="s">
        <v>1473</v>
      </c>
      <c r="T481" t="str">
        <f t="shared" ref="T481:T488" si="16">IF(OR(AK481=1,AN481=1),"reef","no")</f>
        <v>no</v>
      </c>
      <c r="U481" s="1"/>
      <c r="V481" s="1"/>
      <c r="W481" s="1"/>
      <c r="X481" s="1"/>
      <c r="Y481" s="1"/>
      <c r="Z481" s="1"/>
      <c r="AA481" s="1"/>
      <c r="AB481" s="1"/>
      <c r="AG481">
        <v>1</v>
      </c>
      <c r="AH481">
        <v>0</v>
      </c>
      <c r="AI481">
        <v>0</v>
      </c>
      <c r="AJ481">
        <v>0</v>
      </c>
      <c r="AK481">
        <v>0</v>
      </c>
      <c r="AL481">
        <v>0</v>
      </c>
      <c r="AM481">
        <v>0</v>
      </c>
      <c r="AN481">
        <v>0</v>
      </c>
      <c r="AO481">
        <v>0</v>
      </c>
      <c r="AP481">
        <v>0</v>
      </c>
      <c r="AQ481">
        <v>0</v>
      </c>
      <c r="AR481">
        <v>0</v>
      </c>
      <c r="AS481" t="s">
        <v>2600</v>
      </c>
    </row>
    <row r="482" spans="1:45" x14ac:dyDescent="0.25">
      <c r="A482">
        <v>60</v>
      </c>
      <c r="B482" t="str">
        <f>VLOOKUP(A482,'model groups'!$A$3:$C$86,2,FALSE)</f>
        <v>squid</v>
      </c>
      <c r="C482" t="s">
        <v>1474</v>
      </c>
      <c r="D482" t="s">
        <v>1475</v>
      </c>
      <c r="E482" t="s">
        <v>1475</v>
      </c>
      <c r="G482" t="s">
        <v>1470</v>
      </c>
      <c r="H482" t="s">
        <v>1471</v>
      </c>
      <c r="I482" t="s">
        <v>1472</v>
      </c>
      <c r="J482" t="s">
        <v>1476</v>
      </c>
      <c r="T482" t="str">
        <f t="shared" si="16"/>
        <v>no</v>
      </c>
      <c r="U482" s="1"/>
      <c r="V482" s="1"/>
      <c r="W482" s="1"/>
      <c r="X482" s="1"/>
      <c r="Y482" s="1"/>
      <c r="Z482" s="1"/>
      <c r="AA482" s="1"/>
      <c r="AB482" s="1"/>
      <c r="AG482">
        <v>1</v>
      </c>
      <c r="AH482">
        <v>0</v>
      </c>
      <c r="AI482">
        <v>0</v>
      </c>
      <c r="AJ482">
        <v>0</v>
      </c>
      <c r="AK482">
        <v>0</v>
      </c>
      <c r="AL482">
        <v>0</v>
      </c>
      <c r="AM482">
        <v>0</v>
      </c>
      <c r="AN482">
        <v>0</v>
      </c>
      <c r="AO482">
        <v>0</v>
      </c>
      <c r="AP482">
        <v>0</v>
      </c>
      <c r="AQ482">
        <v>0</v>
      </c>
      <c r="AR482">
        <v>0</v>
      </c>
      <c r="AS482" t="s">
        <v>2600</v>
      </c>
    </row>
    <row r="483" spans="1:45" x14ac:dyDescent="0.25">
      <c r="A483">
        <v>60</v>
      </c>
      <c r="B483" t="str">
        <f>VLOOKUP(A483,'model groups'!$A$3:$C$86,2,FALSE)</f>
        <v>squid</v>
      </c>
      <c r="D483" t="s">
        <v>1477</v>
      </c>
      <c r="E483" t="s">
        <v>1477</v>
      </c>
      <c r="G483" t="s">
        <v>1470</v>
      </c>
      <c r="T483" t="str">
        <f t="shared" si="16"/>
        <v>no</v>
      </c>
      <c r="U483" s="1"/>
      <c r="V483" s="1"/>
      <c r="W483" s="1"/>
      <c r="X483" s="1"/>
      <c r="Y483" s="1"/>
      <c r="Z483" s="1"/>
      <c r="AA483" s="1"/>
      <c r="AB483" s="1"/>
      <c r="AG483">
        <v>0</v>
      </c>
      <c r="AH483">
        <v>0</v>
      </c>
      <c r="AI483">
        <v>0</v>
      </c>
      <c r="AJ483">
        <v>0</v>
      </c>
      <c r="AK483">
        <v>0</v>
      </c>
      <c r="AL483">
        <v>0</v>
      </c>
      <c r="AM483">
        <v>1</v>
      </c>
      <c r="AN483">
        <v>0</v>
      </c>
      <c r="AO483">
        <v>0</v>
      </c>
      <c r="AP483">
        <v>0</v>
      </c>
      <c r="AQ483">
        <v>0</v>
      </c>
      <c r="AR483">
        <v>0</v>
      </c>
      <c r="AS483" t="s">
        <v>2600</v>
      </c>
    </row>
    <row r="484" spans="1:45" x14ac:dyDescent="0.25">
      <c r="A484">
        <v>61</v>
      </c>
      <c r="B484" t="str">
        <f>VLOOKUP(A484,'model groups'!$A$3:$C$86,2,FALSE)</f>
        <v>shrimp</v>
      </c>
      <c r="C484" t="s">
        <v>1478</v>
      </c>
      <c r="D484" t="s">
        <v>1479</v>
      </c>
      <c r="E484" t="s">
        <v>1479</v>
      </c>
      <c r="G484" t="s">
        <v>1480</v>
      </c>
      <c r="H484" t="s">
        <v>1481</v>
      </c>
      <c r="I484" t="s">
        <v>1482</v>
      </c>
      <c r="J484" t="s">
        <v>1483</v>
      </c>
      <c r="K484" t="s">
        <v>1484</v>
      </c>
      <c r="L484" s="4" t="s">
        <v>71</v>
      </c>
      <c r="M484" s="4" t="s">
        <v>71</v>
      </c>
      <c r="N484" s="4" t="s">
        <v>71</v>
      </c>
      <c r="O484" s="4" t="s">
        <v>71</v>
      </c>
      <c r="P484" s="4" t="s">
        <v>71</v>
      </c>
      <c r="Q484" s="4" t="s">
        <v>71</v>
      </c>
      <c r="R484" t="s">
        <v>71</v>
      </c>
      <c r="S484" t="s">
        <v>71</v>
      </c>
      <c r="T484" t="str">
        <f t="shared" si="16"/>
        <v>no</v>
      </c>
      <c r="U484" t="s">
        <v>71</v>
      </c>
      <c r="V484" t="s">
        <v>71</v>
      </c>
      <c r="W484" t="s">
        <v>71</v>
      </c>
      <c r="X484" t="s">
        <v>71</v>
      </c>
      <c r="Y484" t="s">
        <v>71</v>
      </c>
      <c r="Z484" t="s">
        <v>71</v>
      </c>
      <c r="AA484" t="s">
        <v>71</v>
      </c>
      <c r="AB484" t="s">
        <v>71</v>
      </c>
      <c r="AC484" t="s">
        <v>71</v>
      </c>
      <c r="AD484" t="s">
        <v>71</v>
      </c>
      <c r="AE484" t="s">
        <v>71</v>
      </c>
      <c r="AF484" t="s">
        <v>71</v>
      </c>
      <c r="AG484">
        <v>0</v>
      </c>
      <c r="AH484">
        <v>0</v>
      </c>
      <c r="AI484">
        <v>0</v>
      </c>
      <c r="AJ484">
        <v>0</v>
      </c>
      <c r="AK484">
        <v>0</v>
      </c>
      <c r="AL484">
        <v>0</v>
      </c>
      <c r="AM484">
        <v>0</v>
      </c>
      <c r="AN484">
        <v>0</v>
      </c>
      <c r="AO484">
        <v>0</v>
      </c>
      <c r="AP484">
        <v>0</v>
      </c>
      <c r="AQ484">
        <v>1</v>
      </c>
      <c r="AR484">
        <v>20</v>
      </c>
      <c r="AS484" t="s">
        <v>2596</v>
      </c>
    </row>
    <row r="485" spans="1:45" x14ac:dyDescent="0.25">
      <c r="A485">
        <v>61</v>
      </c>
      <c r="B485" t="str">
        <f>VLOOKUP(A485,'model groups'!$A$3:$C$86,2,FALSE)</f>
        <v>shrimp</v>
      </c>
      <c r="C485" t="s">
        <v>1485</v>
      </c>
      <c r="D485" t="s">
        <v>1486</v>
      </c>
      <c r="E485" t="s">
        <v>1486</v>
      </c>
      <c r="G485" t="s">
        <v>1480</v>
      </c>
      <c r="H485" t="s">
        <v>1481</v>
      </c>
      <c r="I485" t="s">
        <v>1482</v>
      </c>
      <c r="J485" t="s">
        <v>1483</v>
      </c>
      <c r="T485" t="str">
        <f t="shared" si="16"/>
        <v>no</v>
      </c>
      <c r="U485" s="1"/>
      <c r="V485" s="1"/>
      <c r="W485" s="1"/>
      <c r="X485" s="1"/>
      <c r="Y485" s="1"/>
      <c r="Z485" s="1"/>
      <c r="AA485" s="1"/>
      <c r="AB485" s="1"/>
      <c r="AG485">
        <v>0</v>
      </c>
      <c r="AH485">
        <v>0</v>
      </c>
      <c r="AI485">
        <v>0</v>
      </c>
      <c r="AJ485">
        <v>0</v>
      </c>
      <c r="AK485">
        <v>0</v>
      </c>
      <c r="AL485">
        <v>1</v>
      </c>
      <c r="AM485">
        <v>0</v>
      </c>
      <c r="AN485">
        <v>0</v>
      </c>
      <c r="AO485">
        <v>0</v>
      </c>
      <c r="AP485">
        <v>0</v>
      </c>
      <c r="AQ485">
        <v>0</v>
      </c>
      <c r="AR485">
        <v>20</v>
      </c>
      <c r="AS485" t="s">
        <v>2596</v>
      </c>
    </row>
    <row r="486" spans="1:45" x14ac:dyDescent="0.25">
      <c r="A486">
        <v>61</v>
      </c>
      <c r="B486" t="str">
        <f>VLOOKUP(A486,'model groups'!$A$3:$C$86,2,FALSE)</f>
        <v>shrimp</v>
      </c>
      <c r="C486" t="s">
        <v>1485</v>
      </c>
      <c r="D486" t="s">
        <v>1487</v>
      </c>
      <c r="E486" t="s">
        <v>1487</v>
      </c>
      <c r="G486" t="s">
        <v>1480</v>
      </c>
      <c r="H486" t="s">
        <v>1481</v>
      </c>
      <c r="I486" t="s">
        <v>1482</v>
      </c>
      <c r="J486" t="s">
        <v>1483</v>
      </c>
      <c r="T486" t="str">
        <f t="shared" si="16"/>
        <v>no</v>
      </c>
      <c r="U486" s="1"/>
      <c r="V486" s="1"/>
      <c r="W486" s="1"/>
      <c r="X486" s="1"/>
      <c r="Y486" s="1"/>
      <c r="Z486" s="1"/>
      <c r="AA486" s="1"/>
      <c r="AB486" s="1"/>
      <c r="AG486">
        <v>1</v>
      </c>
      <c r="AH486">
        <v>0</v>
      </c>
      <c r="AI486">
        <v>0</v>
      </c>
      <c r="AJ486">
        <v>0</v>
      </c>
      <c r="AK486">
        <v>0</v>
      </c>
      <c r="AL486">
        <v>0</v>
      </c>
      <c r="AM486">
        <v>0</v>
      </c>
      <c r="AN486">
        <v>0</v>
      </c>
      <c r="AO486">
        <v>0</v>
      </c>
      <c r="AP486">
        <v>0</v>
      </c>
      <c r="AQ486">
        <v>1</v>
      </c>
      <c r="AR486">
        <v>20</v>
      </c>
      <c r="AS486" t="s">
        <v>2596</v>
      </c>
    </row>
    <row r="487" spans="1:45" x14ac:dyDescent="0.25">
      <c r="A487">
        <v>61</v>
      </c>
      <c r="B487" t="str">
        <f>VLOOKUP(A487,'model groups'!$A$3:$C$86,2,FALSE)</f>
        <v>shrimp</v>
      </c>
      <c r="C487" t="s">
        <v>1488</v>
      </c>
      <c r="D487" t="s">
        <v>1489</v>
      </c>
      <c r="E487" t="s">
        <v>1489</v>
      </c>
      <c r="G487" t="s">
        <v>1480</v>
      </c>
      <c r="H487" t="s">
        <v>1481</v>
      </c>
      <c r="I487" t="s">
        <v>1482</v>
      </c>
      <c r="J487" t="s">
        <v>1490</v>
      </c>
      <c r="K487" t="s">
        <v>1491</v>
      </c>
      <c r="L487" s="4" t="s">
        <v>71</v>
      </c>
      <c r="M487" s="4" t="s">
        <v>71</v>
      </c>
      <c r="N487" s="4" t="s">
        <v>71</v>
      </c>
      <c r="O487" s="4" t="s">
        <v>71</v>
      </c>
      <c r="P487" s="4" t="s">
        <v>71</v>
      </c>
      <c r="Q487" s="4" t="s">
        <v>71</v>
      </c>
      <c r="R487" t="s">
        <v>71</v>
      </c>
      <c r="S487" t="s">
        <v>71</v>
      </c>
      <c r="T487" t="str">
        <f t="shared" si="16"/>
        <v>no</v>
      </c>
      <c r="U487" t="s">
        <v>71</v>
      </c>
      <c r="V487" t="s">
        <v>71</v>
      </c>
      <c r="W487" t="s">
        <v>71</v>
      </c>
      <c r="X487" t="s">
        <v>71</v>
      </c>
      <c r="Y487" t="s">
        <v>71</v>
      </c>
      <c r="Z487" t="s">
        <v>71</v>
      </c>
      <c r="AA487" t="s">
        <v>71</v>
      </c>
      <c r="AB487" t="s">
        <v>71</v>
      </c>
      <c r="AC487" t="s">
        <v>71</v>
      </c>
      <c r="AD487" t="s">
        <v>71</v>
      </c>
      <c r="AE487" t="s">
        <v>71</v>
      </c>
      <c r="AF487" t="s">
        <v>71</v>
      </c>
      <c r="AG487">
        <v>0</v>
      </c>
      <c r="AH487">
        <v>0</v>
      </c>
      <c r="AI487">
        <v>0</v>
      </c>
      <c r="AJ487">
        <v>0</v>
      </c>
      <c r="AK487">
        <v>0</v>
      </c>
      <c r="AL487">
        <v>0</v>
      </c>
      <c r="AM487">
        <v>0</v>
      </c>
      <c r="AN487">
        <v>0</v>
      </c>
      <c r="AO487">
        <v>0</v>
      </c>
      <c r="AP487">
        <v>0</v>
      </c>
      <c r="AQ487">
        <v>1</v>
      </c>
      <c r="AR487">
        <v>20</v>
      </c>
      <c r="AS487" t="s">
        <v>2596</v>
      </c>
    </row>
    <row r="488" spans="1:45" x14ac:dyDescent="0.25">
      <c r="A488">
        <v>61</v>
      </c>
      <c r="B488" t="str">
        <f>VLOOKUP(A488,'model groups'!$A$3:$C$86,2,FALSE)</f>
        <v>shrimp</v>
      </c>
      <c r="C488" t="s">
        <v>1492</v>
      </c>
      <c r="D488" t="s">
        <v>1493</v>
      </c>
      <c r="E488" t="s">
        <v>1493</v>
      </c>
      <c r="G488" t="s">
        <v>1480</v>
      </c>
      <c r="H488" t="s">
        <v>1481</v>
      </c>
      <c r="I488" t="s">
        <v>1482</v>
      </c>
      <c r="J488" t="s">
        <v>1494</v>
      </c>
      <c r="T488" t="str">
        <f t="shared" si="16"/>
        <v>no</v>
      </c>
      <c r="U488" s="1"/>
      <c r="V488" s="1"/>
      <c r="W488" s="1"/>
      <c r="X488" s="1"/>
      <c r="Y488" s="1"/>
      <c r="Z488" s="1"/>
      <c r="AA488" s="1"/>
      <c r="AB488" s="1"/>
      <c r="AG488">
        <v>1</v>
      </c>
      <c r="AH488">
        <v>0</v>
      </c>
      <c r="AI488">
        <v>0</v>
      </c>
      <c r="AJ488">
        <v>0</v>
      </c>
      <c r="AK488">
        <v>0</v>
      </c>
      <c r="AL488">
        <v>0</v>
      </c>
      <c r="AM488">
        <v>0</v>
      </c>
      <c r="AN488">
        <v>0</v>
      </c>
      <c r="AO488">
        <v>0</v>
      </c>
      <c r="AP488">
        <v>0</v>
      </c>
      <c r="AQ488">
        <v>0</v>
      </c>
      <c r="AR488">
        <v>20</v>
      </c>
      <c r="AS488" t="s">
        <v>2596</v>
      </c>
    </row>
    <row r="489" spans="1:45" x14ac:dyDescent="0.25">
      <c r="A489">
        <v>61</v>
      </c>
      <c r="B489" t="str">
        <f>VLOOKUP(A489,'model groups'!$A$3:$C$86,2,FALSE)</f>
        <v>shrimp</v>
      </c>
      <c r="C489" t="s">
        <v>71</v>
      </c>
      <c r="D489" t="s">
        <v>1495</v>
      </c>
      <c r="E489" t="s">
        <v>1495</v>
      </c>
      <c r="G489" t="s">
        <v>1480</v>
      </c>
      <c r="H489" t="s">
        <v>1481</v>
      </c>
      <c r="I489" t="s">
        <v>1496</v>
      </c>
      <c r="J489" t="s">
        <v>1497</v>
      </c>
      <c r="K489" t="s">
        <v>1498</v>
      </c>
      <c r="L489" t="s">
        <v>71</v>
      </c>
      <c r="M489" t="s">
        <v>71</v>
      </c>
      <c r="N489" t="s">
        <v>71</v>
      </c>
      <c r="O489" t="s">
        <v>71</v>
      </c>
      <c r="P489" t="s">
        <v>71</v>
      </c>
      <c r="Q489" t="s">
        <v>71</v>
      </c>
      <c r="R489" t="s">
        <v>71</v>
      </c>
      <c r="S489" t="s">
        <v>71</v>
      </c>
      <c r="U489" t="s">
        <v>71</v>
      </c>
      <c r="V489" t="s">
        <v>71</v>
      </c>
      <c r="W489" t="s">
        <v>71</v>
      </c>
      <c r="X489" t="s">
        <v>71</v>
      </c>
      <c r="Y489" t="s">
        <v>71</v>
      </c>
      <c r="Z489" t="s">
        <v>71</v>
      </c>
      <c r="AA489" t="s">
        <v>71</v>
      </c>
      <c r="AB489" t="s">
        <v>71</v>
      </c>
      <c r="AC489" t="s">
        <v>71</v>
      </c>
      <c r="AD489" t="s">
        <v>71</v>
      </c>
      <c r="AE489" t="s">
        <v>71</v>
      </c>
      <c r="AF489" t="s">
        <v>71</v>
      </c>
      <c r="AG489">
        <v>0</v>
      </c>
      <c r="AH489">
        <v>0</v>
      </c>
      <c r="AI489">
        <v>0</v>
      </c>
      <c r="AJ489">
        <v>0</v>
      </c>
      <c r="AK489">
        <v>0</v>
      </c>
      <c r="AL489">
        <v>0</v>
      </c>
      <c r="AM489">
        <v>0</v>
      </c>
      <c r="AN489">
        <v>0</v>
      </c>
      <c r="AO489">
        <v>0</v>
      </c>
      <c r="AP489">
        <v>0</v>
      </c>
      <c r="AQ489">
        <v>1</v>
      </c>
      <c r="AR489">
        <v>20</v>
      </c>
      <c r="AS489" t="s">
        <v>2596</v>
      </c>
    </row>
    <row r="490" spans="1:45" x14ac:dyDescent="0.25">
      <c r="A490">
        <v>61</v>
      </c>
      <c r="B490" t="str">
        <f>VLOOKUP(A490,'model groups'!$A$3:$C$86,2,FALSE)</f>
        <v>shrimp</v>
      </c>
      <c r="C490" t="s">
        <v>1499</v>
      </c>
      <c r="D490" t="s">
        <v>1500</v>
      </c>
      <c r="E490" t="s">
        <v>1500</v>
      </c>
      <c r="G490" t="s">
        <v>1480</v>
      </c>
      <c r="H490" t="s">
        <v>1481</v>
      </c>
      <c r="I490" t="s">
        <v>1496</v>
      </c>
      <c r="J490" t="s">
        <v>1497</v>
      </c>
      <c r="T490" t="str">
        <f t="shared" ref="T490:T502" si="17">IF(OR(AK490=1,AN490=1),"reef","no")</f>
        <v>no</v>
      </c>
      <c r="U490" s="1"/>
      <c r="V490" s="1"/>
      <c r="W490" s="1"/>
      <c r="X490" s="1"/>
      <c r="Y490" s="1"/>
      <c r="Z490" s="1"/>
      <c r="AA490" s="1"/>
      <c r="AB490" s="1"/>
      <c r="AG490">
        <v>1</v>
      </c>
      <c r="AH490">
        <v>0</v>
      </c>
      <c r="AI490">
        <v>0</v>
      </c>
      <c r="AJ490">
        <v>0</v>
      </c>
      <c r="AK490">
        <v>0</v>
      </c>
      <c r="AL490">
        <v>0</v>
      </c>
      <c r="AM490">
        <v>0</v>
      </c>
      <c r="AN490">
        <v>0</v>
      </c>
      <c r="AO490">
        <v>0</v>
      </c>
      <c r="AP490">
        <v>0</v>
      </c>
      <c r="AQ490">
        <v>0</v>
      </c>
      <c r="AR490">
        <v>20</v>
      </c>
      <c r="AS490" t="s">
        <v>2596</v>
      </c>
    </row>
    <row r="491" spans="1:45" x14ac:dyDescent="0.25">
      <c r="A491">
        <v>61</v>
      </c>
      <c r="B491" t="str">
        <f>VLOOKUP(A491,'model groups'!$A$3:$C$86,2,FALSE)</f>
        <v>shrimp</v>
      </c>
      <c r="C491" t="s">
        <v>1501</v>
      </c>
      <c r="D491" t="s">
        <v>1502</v>
      </c>
      <c r="E491" t="s">
        <v>1502</v>
      </c>
      <c r="G491" t="s">
        <v>1480</v>
      </c>
      <c r="H491" t="s">
        <v>1481</v>
      </c>
      <c r="I491" t="s">
        <v>1503</v>
      </c>
      <c r="J491" t="s">
        <v>1504</v>
      </c>
      <c r="K491" t="s">
        <v>1505</v>
      </c>
      <c r="L491" s="4" t="s">
        <v>71</v>
      </c>
      <c r="M491" s="4" t="s">
        <v>71</v>
      </c>
      <c r="N491" s="4" t="s">
        <v>71</v>
      </c>
      <c r="O491" s="4" t="s">
        <v>71</v>
      </c>
      <c r="P491" s="4" t="s">
        <v>71</v>
      </c>
      <c r="Q491" s="4" t="s">
        <v>71</v>
      </c>
      <c r="R491" t="s">
        <v>71</v>
      </c>
      <c r="S491" t="s">
        <v>71</v>
      </c>
      <c r="T491" t="str">
        <f t="shared" si="17"/>
        <v>no</v>
      </c>
      <c r="U491" t="s">
        <v>71</v>
      </c>
      <c r="V491" t="s">
        <v>71</v>
      </c>
      <c r="W491" t="s">
        <v>71</v>
      </c>
      <c r="X491" t="s">
        <v>71</v>
      </c>
      <c r="Y491" t="s">
        <v>71</v>
      </c>
      <c r="Z491" t="s">
        <v>71</v>
      </c>
      <c r="AA491" t="s">
        <v>71</v>
      </c>
      <c r="AB491" t="s">
        <v>71</v>
      </c>
      <c r="AC491" t="s">
        <v>71</v>
      </c>
      <c r="AD491" t="s">
        <v>71</v>
      </c>
      <c r="AE491" t="s">
        <v>71</v>
      </c>
      <c r="AF491" t="s">
        <v>71</v>
      </c>
      <c r="AG491">
        <v>0</v>
      </c>
      <c r="AH491">
        <v>0</v>
      </c>
      <c r="AI491">
        <v>0</v>
      </c>
      <c r="AJ491">
        <v>0</v>
      </c>
      <c r="AK491">
        <v>0</v>
      </c>
      <c r="AL491">
        <v>0</v>
      </c>
      <c r="AM491">
        <v>0</v>
      </c>
      <c r="AN491">
        <v>0</v>
      </c>
      <c r="AO491">
        <v>0</v>
      </c>
      <c r="AP491">
        <v>0</v>
      </c>
      <c r="AQ491">
        <v>1</v>
      </c>
      <c r="AR491">
        <v>20</v>
      </c>
      <c r="AS491" t="s">
        <v>2596</v>
      </c>
    </row>
    <row r="492" spans="1:45" x14ac:dyDescent="0.25">
      <c r="A492">
        <v>62</v>
      </c>
      <c r="B492" t="str">
        <f>VLOOKUP(A492,'model groups'!$A$3:$C$86,2,FALSE)</f>
        <v>large crabs</v>
      </c>
      <c r="C492" t="s">
        <v>1506</v>
      </c>
      <c r="D492" t="s">
        <v>1507</v>
      </c>
      <c r="E492" t="s">
        <v>1507</v>
      </c>
      <c r="G492" t="s">
        <v>1480</v>
      </c>
      <c r="H492" t="s">
        <v>1481</v>
      </c>
      <c r="I492" t="s">
        <v>1508</v>
      </c>
      <c r="J492" t="s">
        <v>1509</v>
      </c>
      <c r="T492" t="str">
        <f t="shared" si="17"/>
        <v>no</v>
      </c>
      <c r="U492" s="1"/>
      <c r="V492" s="1"/>
      <c r="W492" s="1"/>
      <c r="X492" s="1"/>
      <c r="Y492" s="1"/>
      <c r="Z492" s="1"/>
      <c r="AA492" s="1"/>
      <c r="AB492" s="1"/>
      <c r="AG492">
        <v>1</v>
      </c>
      <c r="AH492">
        <v>0</v>
      </c>
      <c r="AI492">
        <v>0</v>
      </c>
      <c r="AJ492">
        <v>0</v>
      </c>
      <c r="AK492">
        <v>0</v>
      </c>
      <c r="AL492">
        <v>0</v>
      </c>
      <c r="AM492">
        <v>0</v>
      </c>
      <c r="AN492">
        <v>0</v>
      </c>
      <c r="AO492">
        <v>0</v>
      </c>
      <c r="AP492">
        <v>0</v>
      </c>
      <c r="AQ492">
        <v>0</v>
      </c>
      <c r="AR492">
        <v>20</v>
      </c>
      <c r="AS492" t="s">
        <v>2596</v>
      </c>
    </row>
    <row r="493" spans="1:45" x14ac:dyDescent="0.25">
      <c r="A493">
        <v>62</v>
      </c>
      <c r="B493" t="str">
        <f>VLOOKUP(A493,'model groups'!$A$3:$C$86,2,FALSE)</f>
        <v>large crabs</v>
      </c>
      <c r="C493" t="s">
        <v>1510</v>
      </c>
      <c r="D493" t="s">
        <v>1511</v>
      </c>
      <c r="E493" t="s">
        <v>1512</v>
      </c>
      <c r="G493" t="s">
        <v>1480</v>
      </c>
      <c r="H493" t="s">
        <v>1481</v>
      </c>
      <c r="I493" t="s">
        <v>1513</v>
      </c>
      <c r="J493" t="s">
        <v>1514</v>
      </c>
      <c r="K493" t="s">
        <v>1515</v>
      </c>
      <c r="L493" s="4" t="s">
        <v>71</v>
      </c>
      <c r="M493" s="4" t="s">
        <v>71</v>
      </c>
      <c r="N493" s="4" t="s">
        <v>71</v>
      </c>
      <c r="O493" s="4" t="s">
        <v>71</v>
      </c>
      <c r="P493" s="4" t="s">
        <v>71</v>
      </c>
      <c r="Q493" s="4" t="s">
        <v>71</v>
      </c>
      <c r="R493" t="s">
        <v>71</v>
      </c>
      <c r="S493" t="s">
        <v>71</v>
      </c>
      <c r="T493" t="str">
        <f t="shared" si="17"/>
        <v>no</v>
      </c>
      <c r="U493" t="s">
        <v>71</v>
      </c>
      <c r="V493" t="s">
        <v>71</v>
      </c>
      <c r="W493" t="s">
        <v>71</v>
      </c>
      <c r="X493" t="s">
        <v>71</v>
      </c>
      <c r="Y493" t="s">
        <v>71</v>
      </c>
      <c r="Z493" t="s">
        <v>71</v>
      </c>
      <c r="AA493" t="s">
        <v>71</v>
      </c>
      <c r="AB493" t="s">
        <v>71</v>
      </c>
      <c r="AC493" t="s">
        <v>71</v>
      </c>
      <c r="AD493" t="s">
        <v>71</v>
      </c>
      <c r="AE493" t="s">
        <v>71</v>
      </c>
      <c r="AF493" t="s">
        <v>71</v>
      </c>
      <c r="AG493">
        <v>0</v>
      </c>
      <c r="AH493">
        <v>0</v>
      </c>
      <c r="AI493">
        <v>0</v>
      </c>
      <c r="AJ493">
        <v>0</v>
      </c>
      <c r="AK493">
        <v>0</v>
      </c>
      <c r="AL493">
        <v>0</v>
      </c>
      <c r="AM493">
        <v>0</v>
      </c>
      <c r="AN493">
        <v>0</v>
      </c>
      <c r="AO493">
        <v>0</v>
      </c>
      <c r="AP493">
        <v>0</v>
      </c>
      <c r="AQ493">
        <v>1</v>
      </c>
      <c r="AR493">
        <v>20</v>
      </c>
      <c r="AS493" t="s">
        <v>2596</v>
      </c>
    </row>
    <row r="494" spans="1:45" x14ac:dyDescent="0.25">
      <c r="A494">
        <v>62</v>
      </c>
      <c r="B494" t="str">
        <f>VLOOKUP(A494,'model groups'!$A$3:$C$86,2,FALSE)</f>
        <v>large crabs</v>
      </c>
      <c r="C494" t="s">
        <v>1516</v>
      </c>
      <c r="D494" t="s">
        <v>1517</v>
      </c>
      <c r="E494" t="s">
        <v>1517</v>
      </c>
      <c r="G494" t="s">
        <v>1480</v>
      </c>
      <c r="H494" t="s">
        <v>1481</v>
      </c>
      <c r="I494" t="s">
        <v>1518</v>
      </c>
      <c r="J494" t="s">
        <v>1519</v>
      </c>
      <c r="K494" t="s">
        <v>1520</v>
      </c>
      <c r="L494" s="4" t="s">
        <v>71</v>
      </c>
      <c r="M494" s="4" t="s">
        <v>71</v>
      </c>
      <c r="N494" s="4" t="s">
        <v>71</v>
      </c>
      <c r="O494" s="4" t="s">
        <v>71</v>
      </c>
      <c r="P494" s="4" t="s">
        <v>71</v>
      </c>
      <c r="Q494" s="4" t="s">
        <v>71</v>
      </c>
      <c r="R494" t="s">
        <v>71</v>
      </c>
      <c r="S494" t="s">
        <v>71</v>
      </c>
      <c r="T494" t="str">
        <f t="shared" si="17"/>
        <v>no</v>
      </c>
      <c r="U494" t="s">
        <v>71</v>
      </c>
      <c r="V494" t="s">
        <v>71</v>
      </c>
      <c r="W494" t="s">
        <v>71</v>
      </c>
      <c r="X494" t="s">
        <v>71</v>
      </c>
      <c r="Y494" t="s">
        <v>71</v>
      </c>
      <c r="Z494" t="s">
        <v>71</v>
      </c>
      <c r="AA494" t="s">
        <v>71</v>
      </c>
      <c r="AB494" t="s">
        <v>71</v>
      </c>
      <c r="AC494" t="s">
        <v>71</v>
      </c>
      <c r="AD494" t="s">
        <v>71</v>
      </c>
      <c r="AE494" t="s">
        <v>71</v>
      </c>
      <c r="AF494" t="s">
        <v>71</v>
      </c>
      <c r="AG494">
        <v>0</v>
      </c>
      <c r="AH494">
        <v>0</v>
      </c>
      <c r="AI494">
        <v>0</v>
      </c>
      <c r="AJ494">
        <v>0</v>
      </c>
      <c r="AK494">
        <v>0</v>
      </c>
      <c r="AL494">
        <v>0</v>
      </c>
      <c r="AM494">
        <v>0</v>
      </c>
      <c r="AN494">
        <v>0</v>
      </c>
      <c r="AO494">
        <v>0</v>
      </c>
      <c r="AP494">
        <v>0</v>
      </c>
      <c r="AQ494">
        <v>1</v>
      </c>
      <c r="AR494">
        <v>20</v>
      </c>
      <c r="AS494" t="s">
        <v>2596</v>
      </c>
    </row>
    <row r="495" spans="1:45" x14ac:dyDescent="0.25">
      <c r="A495">
        <v>62</v>
      </c>
      <c r="B495" t="str">
        <f>VLOOKUP(A495,'model groups'!$A$3:$C$86,2,FALSE)</f>
        <v>large crabs</v>
      </c>
      <c r="C495" t="s">
        <v>1521</v>
      </c>
      <c r="D495" t="s">
        <v>1522</v>
      </c>
      <c r="E495" t="s">
        <v>1522</v>
      </c>
      <c r="G495" t="s">
        <v>1480</v>
      </c>
      <c r="H495" t="s">
        <v>1481</v>
      </c>
      <c r="I495" t="s">
        <v>1523</v>
      </c>
      <c r="J495" t="s">
        <v>1524</v>
      </c>
      <c r="K495" t="s">
        <v>1525</v>
      </c>
      <c r="L495" s="4" t="s">
        <v>71</v>
      </c>
      <c r="M495" s="4" t="s">
        <v>71</v>
      </c>
      <c r="N495" s="4" t="s">
        <v>71</v>
      </c>
      <c r="O495" s="4" t="s">
        <v>71</v>
      </c>
      <c r="P495" s="4" t="s">
        <v>71</v>
      </c>
      <c r="Q495" s="4" t="s">
        <v>71</v>
      </c>
      <c r="R495" t="s">
        <v>71</v>
      </c>
      <c r="S495" t="s">
        <v>71</v>
      </c>
      <c r="T495" t="str">
        <f t="shared" si="17"/>
        <v>no</v>
      </c>
      <c r="U495" t="s">
        <v>71</v>
      </c>
      <c r="V495" t="s">
        <v>71</v>
      </c>
      <c r="W495" t="s">
        <v>71</v>
      </c>
      <c r="X495" t="s">
        <v>71</v>
      </c>
      <c r="Y495" t="s">
        <v>71</v>
      </c>
      <c r="Z495" t="s">
        <v>71</v>
      </c>
      <c r="AA495" t="s">
        <v>71</v>
      </c>
      <c r="AB495" t="s">
        <v>71</v>
      </c>
      <c r="AC495" t="s">
        <v>71</v>
      </c>
      <c r="AD495" t="s">
        <v>71</v>
      </c>
      <c r="AE495" t="s">
        <v>71</v>
      </c>
      <c r="AF495" t="s">
        <v>71</v>
      </c>
      <c r="AG495">
        <v>0</v>
      </c>
      <c r="AH495">
        <v>0</v>
      </c>
      <c r="AI495">
        <v>0</v>
      </c>
      <c r="AJ495">
        <v>0</v>
      </c>
      <c r="AK495">
        <v>0</v>
      </c>
      <c r="AL495">
        <v>0</v>
      </c>
      <c r="AM495">
        <v>0</v>
      </c>
      <c r="AN495">
        <v>0</v>
      </c>
      <c r="AO495">
        <v>0</v>
      </c>
      <c r="AP495">
        <v>0</v>
      </c>
      <c r="AQ495">
        <v>1</v>
      </c>
      <c r="AR495">
        <v>20</v>
      </c>
      <c r="AS495" t="s">
        <v>2596</v>
      </c>
    </row>
    <row r="496" spans="1:45" x14ac:dyDescent="0.25">
      <c r="A496">
        <v>62</v>
      </c>
      <c r="B496" t="str">
        <f>VLOOKUP(A496,'model groups'!$A$3:$C$86,2,FALSE)</f>
        <v>large crabs</v>
      </c>
      <c r="C496" t="s">
        <v>1526</v>
      </c>
      <c r="D496" t="s">
        <v>1527</v>
      </c>
      <c r="E496" t="s">
        <v>1527</v>
      </c>
      <c r="G496" t="s">
        <v>1480</v>
      </c>
      <c r="H496" t="s">
        <v>1481</v>
      </c>
      <c r="I496" t="s">
        <v>1528</v>
      </c>
      <c r="J496" t="s">
        <v>1529</v>
      </c>
      <c r="T496" t="str">
        <f t="shared" si="17"/>
        <v>no</v>
      </c>
      <c r="U496" s="1"/>
      <c r="V496" s="1"/>
      <c r="W496" s="1"/>
      <c r="X496" s="1"/>
      <c r="Y496" s="1"/>
      <c r="Z496" s="1"/>
      <c r="AA496" s="1"/>
      <c r="AB496" s="1"/>
      <c r="AG496">
        <v>0</v>
      </c>
      <c r="AH496">
        <v>0</v>
      </c>
      <c r="AI496">
        <v>0</v>
      </c>
      <c r="AJ496">
        <v>0</v>
      </c>
      <c r="AK496">
        <v>0</v>
      </c>
      <c r="AL496">
        <v>1</v>
      </c>
      <c r="AM496">
        <v>0</v>
      </c>
      <c r="AN496">
        <v>0</v>
      </c>
      <c r="AO496">
        <v>0</v>
      </c>
      <c r="AP496">
        <v>0</v>
      </c>
      <c r="AQ496">
        <v>1</v>
      </c>
      <c r="AR496">
        <v>20</v>
      </c>
      <c r="AS496" t="s">
        <v>2596</v>
      </c>
    </row>
    <row r="497" spans="1:45" x14ac:dyDescent="0.25">
      <c r="A497">
        <v>62</v>
      </c>
      <c r="B497" t="str">
        <f>VLOOKUP(A497,'model groups'!$A$3:$C$86,2,FALSE)</f>
        <v>large crabs</v>
      </c>
      <c r="C497" t="s">
        <v>1530</v>
      </c>
      <c r="D497" t="s">
        <v>1531</v>
      </c>
      <c r="E497" t="s">
        <v>1531</v>
      </c>
      <c r="G497" t="s">
        <v>1480</v>
      </c>
      <c r="H497" t="s">
        <v>1481</v>
      </c>
      <c r="I497" t="s">
        <v>1528</v>
      </c>
      <c r="J497" t="s">
        <v>1532</v>
      </c>
      <c r="T497" t="str">
        <f t="shared" si="17"/>
        <v>no</v>
      </c>
      <c r="U497" s="1"/>
      <c r="V497" s="1"/>
      <c r="W497" s="1"/>
      <c r="X497" s="1"/>
      <c r="Y497" s="1"/>
      <c r="Z497" s="1"/>
      <c r="AA497" s="1"/>
      <c r="AB497" s="1"/>
      <c r="AG497">
        <v>1</v>
      </c>
      <c r="AH497">
        <v>0</v>
      </c>
      <c r="AI497">
        <v>0</v>
      </c>
      <c r="AJ497">
        <v>0</v>
      </c>
      <c r="AK497">
        <v>0</v>
      </c>
      <c r="AL497">
        <v>0</v>
      </c>
      <c r="AM497">
        <v>0</v>
      </c>
      <c r="AN497">
        <v>0</v>
      </c>
      <c r="AO497">
        <v>0</v>
      </c>
      <c r="AP497">
        <v>0</v>
      </c>
      <c r="AQ497">
        <v>0</v>
      </c>
      <c r="AR497">
        <v>20</v>
      </c>
      <c r="AS497" t="s">
        <v>2596</v>
      </c>
    </row>
    <row r="498" spans="1:45" x14ac:dyDescent="0.25">
      <c r="A498">
        <v>62</v>
      </c>
      <c r="B498" t="str">
        <f>VLOOKUP(A498,'model groups'!$A$3:$C$86,2,FALSE)</f>
        <v>large crabs</v>
      </c>
      <c r="C498" t="s">
        <v>1533</v>
      </c>
      <c r="D498" t="s">
        <v>1534</v>
      </c>
      <c r="E498" t="s">
        <v>1535</v>
      </c>
      <c r="G498" t="s">
        <v>1480</v>
      </c>
      <c r="H498" t="s">
        <v>1481</v>
      </c>
      <c r="I498" t="s">
        <v>1528</v>
      </c>
      <c r="J498" t="s">
        <v>1532</v>
      </c>
      <c r="T498" t="str">
        <f t="shared" si="17"/>
        <v>no</v>
      </c>
      <c r="U498" s="1"/>
      <c r="V498" s="1"/>
      <c r="W498" s="1"/>
      <c r="X498" s="1"/>
      <c r="Y498" s="1"/>
      <c r="Z498" s="1"/>
      <c r="AA498" s="1"/>
      <c r="AB498" s="1"/>
      <c r="AG498">
        <v>1</v>
      </c>
      <c r="AH498">
        <v>0</v>
      </c>
      <c r="AI498">
        <v>0</v>
      </c>
      <c r="AJ498">
        <v>0</v>
      </c>
      <c r="AK498">
        <v>0</v>
      </c>
      <c r="AL498">
        <v>0</v>
      </c>
      <c r="AM498">
        <v>0</v>
      </c>
      <c r="AN498">
        <v>0</v>
      </c>
      <c r="AO498">
        <v>0</v>
      </c>
      <c r="AP498">
        <v>0</v>
      </c>
      <c r="AQ498">
        <v>0</v>
      </c>
      <c r="AR498">
        <v>20</v>
      </c>
      <c r="AS498" t="s">
        <v>2596</v>
      </c>
    </row>
    <row r="499" spans="1:45" x14ac:dyDescent="0.25">
      <c r="A499">
        <v>62</v>
      </c>
      <c r="B499" t="str">
        <f>VLOOKUP(A499,'model groups'!$A$3:$C$86,2,FALSE)</f>
        <v>large crabs</v>
      </c>
      <c r="C499" t="s">
        <v>1536</v>
      </c>
      <c r="D499" t="s">
        <v>1537</v>
      </c>
      <c r="E499" t="s">
        <v>1537</v>
      </c>
      <c r="G499" t="s">
        <v>1480</v>
      </c>
      <c r="H499" t="s">
        <v>1481</v>
      </c>
      <c r="I499" t="s">
        <v>1528</v>
      </c>
      <c r="J499" t="s">
        <v>1532</v>
      </c>
      <c r="T499" t="str">
        <f t="shared" si="17"/>
        <v>no</v>
      </c>
      <c r="U499" s="1"/>
      <c r="V499" s="1"/>
      <c r="W499" s="1"/>
      <c r="X499" s="1"/>
      <c r="Y499" s="1"/>
      <c r="Z499" s="1"/>
      <c r="AA499" s="1"/>
      <c r="AB499" s="1"/>
      <c r="AG499">
        <v>1</v>
      </c>
      <c r="AH499">
        <v>0</v>
      </c>
      <c r="AI499">
        <v>0</v>
      </c>
      <c r="AJ499">
        <v>0</v>
      </c>
      <c r="AK499">
        <v>0</v>
      </c>
      <c r="AL499">
        <v>0</v>
      </c>
      <c r="AM499">
        <v>0</v>
      </c>
      <c r="AN499">
        <v>0</v>
      </c>
      <c r="AO499">
        <v>0</v>
      </c>
      <c r="AP499">
        <v>0</v>
      </c>
      <c r="AQ499">
        <v>0</v>
      </c>
      <c r="AR499">
        <v>20</v>
      </c>
      <c r="AS499" t="s">
        <v>2596</v>
      </c>
    </row>
    <row r="500" spans="1:45" x14ac:dyDescent="0.25">
      <c r="A500">
        <v>62</v>
      </c>
      <c r="B500" t="str">
        <f>VLOOKUP(A500,'model groups'!$A$3:$C$86,2,FALSE)</f>
        <v>large crabs</v>
      </c>
      <c r="C500" t="s">
        <v>1538</v>
      </c>
      <c r="D500" t="s">
        <v>1539</v>
      </c>
      <c r="E500" t="s">
        <v>1539</v>
      </c>
      <c r="G500" t="s">
        <v>1480</v>
      </c>
      <c r="H500" t="s">
        <v>1481</v>
      </c>
      <c r="I500" t="s">
        <v>1528</v>
      </c>
      <c r="J500" t="s">
        <v>1532</v>
      </c>
      <c r="T500" t="str">
        <f t="shared" si="17"/>
        <v>no</v>
      </c>
      <c r="U500" s="1"/>
      <c r="V500" s="1"/>
      <c r="W500" s="1"/>
      <c r="X500" s="1"/>
      <c r="Y500" s="1"/>
      <c r="Z500" s="1"/>
      <c r="AA500" s="1"/>
      <c r="AB500" s="1"/>
      <c r="AG500">
        <v>1</v>
      </c>
      <c r="AH500">
        <v>0</v>
      </c>
      <c r="AI500">
        <v>0</v>
      </c>
      <c r="AJ500">
        <v>0</v>
      </c>
      <c r="AK500">
        <v>0</v>
      </c>
      <c r="AL500">
        <v>0</v>
      </c>
      <c r="AM500">
        <v>0</v>
      </c>
      <c r="AN500">
        <v>0</v>
      </c>
      <c r="AO500">
        <v>0</v>
      </c>
      <c r="AP500">
        <v>0</v>
      </c>
      <c r="AQ500">
        <v>0</v>
      </c>
      <c r="AR500">
        <v>20</v>
      </c>
      <c r="AS500" t="s">
        <v>2596</v>
      </c>
    </row>
    <row r="501" spans="1:45" x14ac:dyDescent="0.25">
      <c r="A501">
        <v>62</v>
      </c>
      <c r="B501" t="str">
        <f>VLOOKUP(A501,'model groups'!$A$3:$C$86,2,FALSE)</f>
        <v>large crabs</v>
      </c>
      <c r="C501" t="s">
        <v>1540</v>
      </c>
      <c r="D501" t="s">
        <v>1541</v>
      </c>
      <c r="E501" t="s">
        <v>1541</v>
      </c>
      <c r="G501" t="s">
        <v>1480</v>
      </c>
      <c r="H501" t="s">
        <v>1481</v>
      </c>
      <c r="I501" t="s">
        <v>1542</v>
      </c>
      <c r="J501" t="s">
        <v>1543</v>
      </c>
      <c r="T501" t="str">
        <f t="shared" si="17"/>
        <v>no</v>
      </c>
      <c r="U501" s="1"/>
      <c r="V501" s="1"/>
      <c r="W501" s="1"/>
      <c r="X501" s="1"/>
      <c r="Y501" s="1"/>
      <c r="Z501" s="1"/>
      <c r="AA501" s="1"/>
      <c r="AB501" s="1"/>
      <c r="AG501">
        <v>1</v>
      </c>
      <c r="AH501">
        <v>0</v>
      </c>
      <c r="AI501">
        <v>0</v>
      </c>
      <c r="AJ501">
        <v>0</v>
      </c>
      <c r="AK501">
        <v>0</v>
      </c>
      <c r="AL501">
        <v>0</v>
      </c>
      <c r="AM501">
        <v>0</v>
      </c>
      <c r="AN501">
        <v>0</v>
      </c>
      <c r="AO501">
        <v>0</v>
      </c>
      <c r="AP501">
        <v>0</v>
      </c>
      <c r="AQ501">
        <v>0</v>
      </c>
      <c r="AR501">
        <v>20</v>
      </c>
      <c r="AS501" t="s">
        <v>2596</v>
      </c>
    </row>
    <row r="502" spans="1:45" x14ac:dyDescent="0.25">
      <c r="A502">
        <v>62</v>
      </c>
      <c r="B502" t="str">
        <f>VLOOKUP(A502,'model groups'!$A$3:$C$86,2,FALSE)</f>
        <v>large crabs</v>
      </c>
      <c r="C502" t="s">
        <v>1544</v>
      </c>
      <c r="D502" t="s">
        <v>1545</v>
      </c>
      <c r="E502" t="s">
        <v>1545</v>
      </c>
      <c r="G502" t="s">
        <v>1480</v>
      </c>
      <c r="H502" t="s">
        <v>1481</v>
      </c>
      <c r="I502" t="s">
        <v>1542</v>
      </c>
      <c r="J502" t="s">
        <v>1546</v>
      </c>
      <c r="T502" t="str">
        <f t="shared" si="17"/>
        <v>no</v>
      </c>
      <c r="U502" s="1"/>
      <c r="V502" s="1"/>
      <c r="W502" s="1"/>
      <c r="X502" s="1"/>
      <c r="Y502" s="1"/>
      <c r="Z502" s="1"/>
      <c r="AA502" s="1"/>
      <c r="AB502" s="1"/>
      <c r="AG502">
        <v>1</v>
      </c>
      <c r="AH502">
        <v>0</v>
      </c>
      <c r="AI502">
        <v>0</v>
      </c>
      <c r="AJ502">
        <v>0</v>
      </c>
      <c r="AK502">
        <v>0</v>
      </c>
      <c r="AL502">
        <v>0</v>
      </c>
      <c r="AM502">
        <v>0</v>
      </c>
      <c r="AN502">
        <v>0</v>
      </c>
      <c r="AO502">
        <v>0</v>
      </c>
      <c r="AP502">
        <v>0</v>
      </c>
      <c r="AQ502">
        <v>0</v>
      </c>
      <c r="AR502">
        <v>20</v>
      </c>
      <c r="AS502" t="s">
        <v>2596</v>
      </c>
    </row>
    <row r="503" spans="1:45" x14ac:dyDescent="0.25">
      <c r="A503">
        <v>64</v>
      </c>
      <c r="B503" t="str">
        <f>VLOOKUP(A503,'model groups'!$A$3:$C$86,2,FALSE)</f>
        <v>echinoderms</v>
      </c>
      <c r="C503" t="s">
        <v>71</v>
      </c>
      <c r="D503" t="s">
        <v>1547</v>
      </c>
      <c r="E503" t="s">
        <v>1547</v>
      </c>
      <c r="G503" t="s">
        <v>71</v>
      </c>
      <c r="H503" t="s">
        <v>71</v>
      </c>
      <c r="I503" t="s">
        <v>71</v>
      </c>
      <c r="J503" t="s">
        <v>71</v>
      </c>
      <c r="K503" t="s">
        <v>1548</v>
      </c>
      <c r="L503" t="s">
        <v>71</v>
      </c>
      <c r="M503" t="s">
        <v>71</v>
      </c>
      <c r="N503" t="s">
        <v>71</v>
      </c>
      <c r="O503" t="s">
        <v>71</v>
      </c>
      <c r="P503" t="s">
        <v>71</v>
      </c>
      <c r="Q503" t="s">
        <v>71</v>
      </c>
      <c r="R503" t="s">
        <v>71</v>
      </c>
      <c r="S503" t="s">
        <v>71</v>
      </c>
      <c r="U503" t="s">
        <v>71</v>
      </c>
      <c r="V503" t="s">
        <v>71</v>
      </c>
      <c r="W503" t="s">
        <v>71</v>
      </c>
      <c r="X503" t="s">
        <v>71</v>
      </c>
      <c r="Y503" t="s">
        <v>71</v>
      </c>
      <c r="Z503" t="s">
        <v>71</v>
      </c>
      <c r="AA503" t="s">
        <v>71</v>
      </c>
      <c r="AB503" t="s">
        <v>71</v>
      </c>
      <c r="AC503" t="s">
        <v>71</v>
      </c>
      <c r="AD503" t="s">
        <v>71</v>
      </c>
      <c r="AE503" t="s">
        <v>71</v>
      </c>
      <c r="AF503" t="s">
        <v>71</v>
      </c>
      <c r="AG503">
        <v>0</v>
      </c>
      <c r="AH503">
        <v>0</v>
      </c>
      <c r="AI503">
        <v>0</v>
      </c>
      <c r="AJ503">
        <v>0</v>
      </c>
      <c r="AK503">
        <v>0</v>
      </c>
      <c r="AL503">
        <v>0</v>
      </c>
      <c r="AM503">
        <v>0</v>
      </c>
      <c r="AN503">
        <v>0</v>
      </c>
      <c r="AO503">
        <v>0</v>
      </c>
      <c r="AP503">
        <v>0</v>
      </c>
      <c r="AQ503">
        <v>1</v>
      </c>
      <c r="AR503">
        <v>22</v>
      </c>
      <c r="AS503" t="s">
        <v>2598</v>
      </c>
    </row>
    <row r="504" spans="1:45" x14ac:dyDescent="0.25">
      <c r="A504">
        <v>64</v>
      </c>
      <c r="B504" t="str">
        <f>VLOOKUP(A504,'model groups'!$A$3:$C$86,2,FALSE)</f>
        <v>echinoderms</v>
      </c>
      <c r="C504" t="s">
        <v>1549</v>
      </c>
      <c r="D504" t="s">
        <v>1550</v>
      </c>
      <c r="E504" t="s">
        <v>1550</v>
      </c>
      <c r="G504" t="s">
        <v>1551</v>
      </c>
      <c r="H504" t="s">
        <v>1552</v>
      </c>
      <c r="I504" t="s">
        <v>1553</v>
      </c>
      <c r="J504" t="s">
        <v>1554</v>
      </c>
      <c r="T504" t="str">
        <f t="shared" ref="T504:T521" si="18">IF(OR(AK504=1,AN504=1),"reef","no")</f>
        <v>no</v>
      </c>
      <c r="U504" s="1"/>
      <c r="V504" s="1"/>
      <c r="W504" s="1"/>
      <c r="X504" s="1"/>
      <c r="Y504" s="1"/>
      <c r="Z504" s="1"/>
      <c r="AA504" s="1"/>
      <c r="AB504" s="1"/>
      <c r="AG504">
        <v>1</v>
      </c>
      <c r="AH504">
        <v>0</v>
      </c>
      <c r="AI504">
        <v>0</v>
      </c>
      <c r="AJ504">
        <v>0</v>
      </c>
      <c r="AK504">
        <v>0</v>
      </c>
      <c r="AL504">
        <v>0</v>
      </c>
      <c r="AM504">
        <v>0</v>
      </c>
      <c r="AN504">
        <v>0</v>
      </c>
      <c r="AO504">
        <v>0</v>
      </c>
      <c r="AP504">
        <v>0</v>
      </c>
      <c r="AQ504">
        <v>0</v>
      </c>
      <c r="AR504">
        <v>22</v>
      </c>
      <c r="AS504" t="s">
        <v>2598</v>
      </c>
    </row>
    <row r="505" spans="1:45" x14ac:dyDescent="0.25">
      <c r="A505">
        <v>64</v>
      </c>
      <c r="B505" t="str">
        <f>VLOOKUP(A505,'model groups'!$A$3:$C$86,2,FALSE)</f>
        <v>echinoderms</v>
      </c>
      <c r="C505" t="s">
        <v>1555</v>
      </c>
      <c r="D505" t="s">
        <v>1556</v>
      </c>
      <c r="E505" t="s">
        <v>1556</v>
      </c>
      <c r="G505" t="s">
        <v>1557</v>
      </c>
      <c r="H505" t="s">
        <v>1558</v>
      </c>
      <c r="I505" t="s">
        <v>1559</v>
      </c>
      <c r="J505" t="s">
        <v>1560</v>
      </c>
      <c r="T505" t="str">
        <f t="shared" si="18"/>
        <v>no</v>
      </c>
      <c r="U505" s="1"/>
      <c r="V505" s="1"/>
      <c r="W505" s="1"/>
      <c r="X505" s="1"/>
      <c r="Y505" s="1"/>
      <c r="Z505" s="1"/>
      <c r="AA505" s="1"/>
      <c r="AB505" s="1"/>
      <c r="AG505">
        <v>1</v>
      </c>
      <c r="AH505">
        <v>0</v>
      </c>
      <c r="AI505">
        <v>0</v>
      </c>
      <c r="AJ505">
        <v>0</v>
      </c>
      <c r="AK505">
        <v>0</v>
      </c>
      <c r="AL505">
        <v>0</v>
      </c>
      <c r="AM505">
        <v>0</v>
      </c>
      <c r="AN505">
        <v>0</v>
      </c>
      <c r="AO505">
        <v>0</v>
      </c>
      <c r="AP505">
        <v>0</v>
      </c>
      <c r="AQ505">
        <v>0</v>
      </c>
      <c r="AR505">
        <v>22</v>
      </c>
      <c r="AS505" t="s">
        <v>2598</v>
      </c>
    </row>
    <row r="506" spans="1:45" x14ac:dyDescent="0.25">
      <c r="A506">
        <v>64</v>
      </c>
      <c r="B506" t="str">
        <f>VLOOKUP(A506,'model groups'!$A$3:$C$86,2,FALSE)</f>
        <v>echinoderms</v>
      </c>
      <c r="C506" t="s">
        <v>1561</v>
      </c>
      <c r="D506" t="s">
        <v>1562</v>
      </c>
      <c r="E506" t="s">
        <v>1562</v>
      </c>
      <c r="G506" t="s">
        <v>1557</v>
      </c>
      <c r="H506" t="s">
        <v>1558</v>
      </c>
      <c r="I506" t="s">
        <v>1559</v>
      </c>
      <c r="J506" t="s">
        <v>1560</v>
      </c>
      <c r="T506" t="str">
        <f t="shared" si="18"/>
        <v>no</v>
      </c>
      <c r="U506" s="1"/>
      <c r="V506" s="1"/>
      <c r="W506" s="1"/>
      <c r="X506" s="1"/>
      <c r="Y506" s="1"/>
      <c r="Z506" s="1"/>
      <c r="AA506" s="1"/>
      <c r="AB506" s="1"/>
      <c r="AG506">
        <v>1</v>
      </c>
      <c r="AH506">
        <v>0</v>
      </c>
      <c r="AI506">
        <v>0</v>
      </c>
      <c r="AJ506">
        <v>0</v>
      </c>
      <c r="AK506">
        <v>0</v>
      </c>
      <c r="AL506">
        <v>0</v>
      </c>
      <c r="AM506">
        <v>0</v>
      </c>
      <c r="AN506">
        <v>0</v>
      </c>
      <c r="AO506">
        <v>0</v>
      </c>
      <c r="AP506">
        <v>0</v>
      </c>
      <c r="AQ506">
        <v>0</v>
      </c>
      <c r="AR506">
        <v>22</v>
      </c>
      <c r="AS506" t="s">
        <v>2598</v>
      </c>
    </row>
    <row r="507" spans="1:45" x14ac:dyDescent="0.25">
      <c r="A507">
        <v>64</v>
      </c>
      <c r="B507" t="str">
        <f>VLOOKUP(A507,'model groups'!$A$3:$C$86,2,FALSE)</f>
        <v>echinoderms</v>
      </c>
      <c r="D507" t="s">
        <v>1563</v>
      </c>
      <c r="E507" t="s">
        <v>1563</v>
      </c>
      <c r="G507" t="s">
        <v>1557</v>
      </c>
      <c r="H507" t="s">
        <v>1558</v>
      </c>
      <c r="I507" t="s">
        <v>1559</v>
      </c>
      <c r="J507" t="s">
        <v>1560</v>
      </c>
      <c r="T507" t="str">
        <f t="shared" si="18"/>
        <v>no</v>
      </c>
      <c r="U507" s="1"/>
      <c r="V507" s="1"/>
      <c r="W507" s="1"/>
      <c r="X507" s="1"/>
      <c r="Y507" s="1"/>
      <c r="Z507" s="1"/>
      <c r="AA507" s="1"/>
      <c r="AB507" s="1"/>
      <c r="AG507">
        <v>1</v>
      </c>
      <c r="AH507">
        <v>0</v>
      </c>
      <c r="AI507">
        <v>0</v>
      </c>
      <c r="AJ507">
        <v>0</v>
      </c>
      <c r="AK507">
        <v>0</v>
      </c>
      <c r="AL507">
        <v>0</v>
      </c>
      <c r="AM507">
        <v>0</v>
      </c>
      <c r="AN507">
        <v>0</v>
      </c>
      <c r="AO507">
        <v>0</v>
      </c>
      <c r="AP507">
        <v>0</v>
      </c>
      <c r="AQ507">
        <v>0</v>
      </c>
      <c r="AR507">
        <v>22</v>
      </c>
      <c r="AS507" t="s">
        <v>2598</v>
      </c>
    </row>
    <row r="508" spans="1:45" x14ac:dyDescent="0.25">
      <c r="A508">
        <v>64</v>
      </c>
      <c r="B508" t="str">
        <f>VLOOKUP(A508,'model groups'!$A$3:$C$86,2,FALSE)</f>
        <v>echinoderms</v>
      </c>
      <c r="C508" t="s">
        <v>1564</v>
      </c>
      <c r="D508" t="s">
        <v>1565</v>
      </c>
      <c r="E508" t="s">
        <v>1565</v>
      </c>
      <c r="G508" t="s">
        <v>1551</v>
      </c>
      <c r="H508" t="s">
        <v>1566</v>
      </c>
      <c r="I508" t="s">
        <v>1567</v>
      </c>
      <c r="J508" t="s">
        <v>1568</v>
      </c>
      <c r="T508" t="str">
        <f t="shared" si="18"/>
        <v>no</v>
      </c>
      <c r="U508" s="1"/>
      <c r="V508" s="1"/>
      <c r="W508" s="1"/>
      <c r="X508" s="1"/>
      <c r="Y508" s="1"/>
      <c r="Z508" s="1"/>
      <c r="AA508" s="1"/>
      <c r="AB508" s="1"/>
      <c r="AG508">
        <v>1</v>
      </c>
      <c r="AH508">
        <v>0</v>
      </c>
      <c r="AI508">
        <v>0</v>
      </c>
      <c r="AJ508">
        <v>0</v>
      </c>
      <c r="AK508">
        <v>0</v>
      </c>
      <c r="AL508">
        <v>0</v>
      </c>
      <c r="AM508">
        <v>0</v>
      </c>
      <c r="AN508">
        <v>0</v>
      </c>
      <c r="AO508">
        <v>0</v>
      </c>
      <c r="AP508">
        <v>0</v>
      </c>
      <c r="AQ508">
        <v>0</v>
      </c>
      <c r="AR508">
        <v>22</v>
      </c>
      <c r="AS508" t="s">
        <v>2598</v>
      </c>
    </row>
    <row r="509" spans="1:45" x14ac:dyDescent="0.25">
      <c r="A509">
        <v>64</v>
      </c>
      <c r="B509" t="str">
        <f>VLOOKUP(A509,'model groups'!$A$3:$C$86,2,FALSE)</f>
        <v>echinoderms</v>
      </c>
      <c r="C509" t="s">
        <v>1569</v>
      </c>
      <c r="D509" t="s">
        <v>1570</v>
      </c>
      <c r="E509" t="s">
        <v>1570</v>
      </c>
      <c r="G509" t="s">
        <v>1551</v>
      </c>
      <c r="H509" t="s">
        <v>1566</v>
      </c>
      <c r="I509" t="s">
        <v>1567</v>
      </c>
      <c r="J509" t="s">
        <v>1571</v>
      </c>
      <c r="T509" t="str">
        <f t="shared" si="18"/>
        <v>no</v>
      </c>
      <c r="U509" s="1"/>
      <c r="V509" s="1"/>
      <c r="W509" s="1"/>
      <c r="X509" s="1"/>
      <c r="Y509" s="1"/>
      <c r="Z509" s="1"/>
      <c r="AA509" s="1"/>
      <c r="AB509" s="1"/>
      <c r="AG509">
        <v>1</v>
      </c>
      <c r="AH509">
        <v>0</v>
      </c>
      <c r="AI509">
        <v>0</v>
      </c>
      <c r="AJ509">
        <v>0</v>
      </c>
      <c r="AK509">
        <v>0</v>
      </c>
      <c r="AL509">
        <v>0</v>
      </c>
      <c r="AM509">
        <v>0</v>
      </c>
      <c r="AN509">
        <v>0</v>
      </c>
      <c r="AO509">
        <v>0</v>
      </c>
      <c r="AP509">
        <v>0</v>
      </c>
      <c r="AQ509">
        <v>0</v>
      </c>
      <c r="AR509">
        <v>22</v>
      </c>
      <c r="AS509" t="s">
        <v>2598</v>
      </c>
    </row>
    <row r="510" spans="1:45" x14ac:dyDescent="0.25">
      <c r="A510">
        <v>64</v>
      </c>
      <c r="B510" t="str">
        <f>VLOOKUP(A510,'model groups'!$A$3:$C$86,2,FALSE)</f>
        <v>echinoderms</v>
      </c>
      <c r="C510" t="s">
        <v>1572</v>
      </c>
      <c r="D510" t="s">
        <v>1573</v>
      </c>
      <c r="E510" t="s">
        <v>1573</v>
      </c>
      <c r="G510" t="s">
        <v>1557</v>
      </c>
      <c r="H510" t="s">
        <v>1574</v>
      </c>
      <c r="I510" t="s">
        <v>1575</v>
      </c>
      <c r="J510" t="s">
        <v>1576</v>
      </c>
      <c r="T510" t="str">
        <f t="shared" si="18"/>
        <v>no</v>
      </c>
      <c r="U510" s="1"/>
      <c r="V510" s="1"/>
      <c r="W510" s="1"/>
      <c r="X510" s="1"/>
      <c r="Y510" s="1"/>
      <c r="Z510" s="1"/>
      <c r="AA510" s="1"/>
      <c r="AB510" s="1"/>
      <c r="AG510">
        <v>1</v>
      </c>
      <c r="AH510">
        <v>0</v>
      </c>
      <c r="AI510">
        <v>0</v>
      </c>
      <c r="AJ510">
        <v>0</v>
      </c>
      <c r="AK510">
        <v>0</v>
      </c>
      <c r="AL510">
        <v>0</v>
      </c>
      <c r="AM510">
        <v>0</v>
      </c>
      <c r="AN510">
        <v>0</v>
      </c>
      <c r="AO510">
        <v>0</v>
      </c>
      <c r="AP510">
        <v>0</v>
      </c>
      <c r="AQ510">
        <v>0</v>
      </c>
      <c r="AR510">
        <v>22</v>
      </c>
      <c r="AS510" t="s">
        <v>2598</v>
      </c>
    </row>
    <row r="511" spans="1:45" x14ac:dyDescent="0.25">
      <c r="A511">
        <v>64</v>
      </c>
      <c r="B511" t="str">
        <f>VLOOKUP(A511,'model groups'!$A$3:$C$86,2,FALSE)</f>
        <v>echinoderms</v>
      </c>
      <c r="D511" t="s">
        <v>1577</v>
      </c>
      <c r="E511" t="s">
        <v>1577</v>
      </c>
      <c r="G511" t="s">
        <v>1557</v>
      </c>
      <c r="H511" t="s">
        <v>1574</v>
      </c>
      <c r="I511" t="s">
        <v>1575</v>
      </c>
      <c r="J511" t="s">
        <v>1576</v>
      </c>
      <c r="T511" t="str">
        <f t="shared" si="18"/>
        <v>no</v>
      </c>
      <c r="U511" s="1"/>
      <c r="V511" s="1"/>
      <c r="W511" s="1"/>
      <c r="X511" s="1"/>
      <c r="Y511" s="1"/>
      <c r="Z511" s="1"/>
      <c r="AA511" s="1"/>
      <c r="AB511" s="1"/>
      <c r="AG511">
        <v>1</v>
      </c>
      <c r="AH511">
        <v>0</v>
      </c>
      <c r="AI511">
        <v>0</v>
      </c>
      <c r="AJ511">
        <v>0</v>
      </c>
      <c r="AK511">
        <v>0</v>
      </c>
      <c r="AL511">
        <v>0</v>
      </c>
      <c r="AM511">
        <v>0</v>
      </c>
      <c r="AN511">
        <v>0</v>
      </c>
      <c r="AO511">
        <v>0</v>
      </c>
      <c r="AP511">
        <v>0</v>
      </c>
      <c r="AQ511">
        <v>0</v>
      </c>
      <c r="AR511">
        <v>22</v>
      </c>
      <c r="AS511" t="s">
        <v>2598</v>
      </c>
    </row>
    <row r="512" spans="1:45" x14ac:dyDescent="0.25">
      <c r="A512">
        <v>64</v>
      </c>
      <c r="B512" t="str">
        <f>VLOOKUP(A512,'model groups'!$A$3:$C$86,2,FALSE)</f>
        <v>echinoderms</v>
      </c>
      <c r="C512" t="s">
        <v>1578</v>
      </c>
      <c r="D512" t="s">
        <v>1579</v>
      </c>
      <c r="E512" t="s">
        <v>1580</v>
      </c>
      <c r="G512" t="s">
        <v>1581</v>
      </c>
      <c r="H512" t="s">
        <v>1582</v>
      </c>
      <c r="I512" t="s">
        <v>1583</v>
      </c>
      <c r="J512" t="s">
        <v>1584</v>
      </c>
      <c r="T512" t="str">
        <f t="shared" si="18"/>
        <v>no</v>
      </c>
      <c r="U512" s="1"/>
      <c r="V512" s="1"/>
      <c r="W512" s="1"/>
      <c r="X512" s="1"/>
      <c r="Y512" s="1"/>
      <c r="Z512" s="1"/>
      <c r="AA512" s="1"/>
      <c r="AB512" s="1"/>
      <c r="AG512">
        <v>1</v>
      </c>
      <c r="AH512">
        <v>0</v>
      </c>
      <c r="AI512">
        <v>0</v>
      </c>
      <c r="AJ512">
        <v>0</v>
      </c>
      <c r="AK512">
        <v>0</v>
      </c>
      <c r="AL512">
        <v>0</v>
      </c>
      <c r="AM512">
        <v>0</v>
      </c>
      <c r="AN512">
        <v>0</v>
      </c>
      <c r="AO512">
        <v>0</v>
      </c>
      <c r="AP512">
        <v>0</v>
      </c>
      <c r="AQ512">
        <v>0</v>
      </c>
      <c r="AR512">
        <v>22</v>
      </c>
      <c r="AS512" t="s">
        <v>2598</v>
      </c>
    </row>
    <row r="513" spans="1:45" x14ac:dyDescent="0.25">
      <c r="A513">
        <v>64</v>
      </c>
      <c r="B513" t="str">
        <f>VLOOKUP(A513,'model groups'!$A$3:$C$86,2,FALSE)</f>
        <v>echinoderms</v>
      </c>
      <c r="C513" t="s">
        <v>1585</v>
      </c>
      <c r="D513" t="s">
        <v>1586</v>
      </c>
      <c r="E513" t="s">
        <v>1586</v>
      </c>
      <c r="G513" t="s">
        <v>1557</v>
      </c>
      <c r="H513" t="s">
        <v>1558</v>
      </c>
      <c r="I513" t="s">
        <v>1587</v>
      </c>
      <c r="J513" t="s">
        <v>1588</v>
      </c>
      <c r="T513" t="str">
        <f t="shared" si="18"/>
        <v>no</v>
      </c>
      <c r="U513" s="1"/>
      <c r="V513" s="1"/>
      <c r="W513" s="1"/>
      <c r="X513" s="1"/>
      <c r="Y513" s="1"/>
      <c r="Z513" s="1"/>
      <c r="AA513" s="1"/>
      <c r="AB513" s="1"/>
      <c r="AG513">
        <v>1</v>
      </c>
      <c r="AH513">
        <v>0</v>
      </c>
      <c r="AI513">
        <v>0</v>
      </c>
      <c r="AJ513">
        <v>0</v>
      </c>
      <c r="AK513">
        <v>0</v>
      </c>
      <c r="AL513">
        <v>0</v>
      </c>
      <c r="AM513">
        <v>0</v>
      </c>
      <c r="AN513">
        <v>0</v>
      </c>
      <c r="AO513">
        <v>0</v>
      </c>
      <c r="AP513">
        <v>0</v>
      </c>
      <c r="AQ513">
        <v>0</v>
      </c>
      <c r="AR513">
        <v>22</v>
      </c>
      <c r="AS513" t="s">
        <v>2598</v>
      </c>
    </row>
    <row r="514" spans="1:45" x14ac:dyDescent="0.25">
      <c r="A514">
        <v>64</v>
      </c>
      <c r="B514" t="str">
        <f>VLOOKUP(A514,'model groups'!$A$3:$C$86,2,FALSE)</f>
        <v>echinoderms</v>
      </c>
      <c r="C514" t="s">
        <v>1589</v>
      </c>
      <c r="D514" t="s">
        <v>1590</v>
      </c>
      <c r="E514" t="s">
        <v>1590</v>
      </c>
      <c r="G514" t="s">
        <v>1557</v>
      </c>
      <c r="H514" t="s">
        <v>1558</v>
      </c>
      <c r="I514" t="s">
        <v>1587</v>
      </c>
      <c r="J514" t="s">
        <v>1588</v>
      </c>
      <c r="T514" t="str">
        <f t="shared" si="18"/>
        <v>no</v>
      </c>
      <c r="U514" s="1"/>
      <c r="V514" s="1"/>
      <c r="W514" s="1"/>
      <c r="X514" s="1"/>
      <c r="Y514" s="1"/>
      <c r="Z514" s="1"/>
      <c r="AA514" s="1"/>
      <c r="AB514" s="1"/>
      <c r="AG514">
        <v>1</v>
      </c>
      <c r="AH514">
        <v>0</v>
      </c>
      <c r="AI514">
        <v>0</v>
      </c>
      <c r="AJ514">
        <v>0</v>
      </c>
      <c r="AK514">
        <v>0</v>
      </c>
      <c r="AL514">
        <v>0</v>
      </c>
      <c r="AM514">
        <v>0</v>
      </c>
      <c r="AN514">
        <v>0</v>
      </c>
      <c r="AO514">
        <v>0</v>
      </c>
      <c r="AP514">
        <v>0</v>
      </c>
      <c r="AQ514">
        <v>0</v>
      </c>
      <c r="AR514">
        <v>22</v>
      </c>
      <c r="AS514" t="s">
        <v>2598</v>
      </c>
    </row>
    <row r="515" spans="1:45" x14ac:dyDescent="0.25">
      <c r="A515">
        <v>64</v>
      </c>
      <c r="B515" t="str">
        <f>VLOOKUP(A515,'model groups'!$A$3:$C$86,2,FALSE)</f>
        <v>echinoderms</v>
      </c>
      <c r="D515" t="s">
        <v>1591</v>
      </c>
      <c r="E515" t="s">
        <v>1591</v>
      </c>
      <c r="G515" t="s">
        <v>1557</v>
      </c>
      <c r="H515" t="s">
        <v>1558</v>
      </c>
      <c r="I515" t="s">
        <v>1587</v>
      </c>
      <c r="J515" t="s">
        <v>1588</v>
      </c>
      <c r="T515" t="str">
        <f t="shared" si="18"/>
        <v>no</v>
      </c>
      <c r="U515" s="1"/>
      <c r="V515" s="1"/>
      <c r="W515" s="1"/>
      <c r="X515" s="1"/>
      <c r="Y515" s="1"/>
      <c r="Z515" s="1"/>
      <c r="AA515" s="1"/>
      <c r="AB515" s="1"/>
      <c r="AG515">
        <v>1</v>
      </c>
      <c r="AH515">
        <v>0</v>
      </c>
      <c r="AI515">
        <v>0</v>
      </c>
      <c r="AJ515">
        <v>0</v>
      </c>
      <c r="AK515">
        <v>0</v>
      </c>
      <c r="AL515">
        <v>0</v>
      </c>
      <c r="AM515">
        <v>0</v>
      </c>
      <c r="AN515">
        <v>0</v>
      </c>
      <c r="AO515">
        <v>0</v>
      </c>
      <c r="AP515">
        <v>0</v>
      </c>
      <c r="AQ515">
        <v>0</v>
      </c>
      <c r="AR515">
        <v>22</v>
      </c>
      <c r="AS515" t="s">
        <v>2598</v>
      </c>
    </row>
    <row r="516" spans="1:45" x14ac:dyDescent="0.25">
      <c r="A516">
        <v>64</v>
      </c>
      <c r="B516" t="str">
        <f>VLOOKUP(A516,'model groups'!$A$3:$C$86,2,FALSE)</f>
        <v>echinoderms</v>
      </c>
      <c r="C516" t="s">
        <v>1592</v>
      </c>
      <c r="D516" t="s">
        <v>1593</v>
      </c>
      <c r="E516" t="s">
        <v>1593</v>
      </c>
      <c r="G516" t="s">
        <v>1551</v>
      </c>
      <c r="H516" t="s">
        <v>1594</v>
      </c>
      <c r="I516" t="s">
        <v>1595</v>
      </c>
      <c r="J516" t="s">
        <v>1596</v>
      </c>
      <c r="T516" t="str">
        <f t="shared" si="18"/>
        <v>no</v>
      </c>
      <c r="U516" s="1"/>
      <c r="V516" s="1"/>
      <c r="W516" s="1"/>
      <c r="X516" s="1"/>
      <c r="Y516" s="1"/>
      <c r="Z516" s="1"/>
      <c r="AA516" s="1"/>
      <c r="AB516" s="1"/>
      <c r="AG516">
        <v>1</v>
      </c>
      <c r="AH516">
        <v>0</v>
      </c>
      <c r="AI516">
        <v>0</v>
      </c>
      <c r="AJ516">
        <v>0</v>
      </c>
      <c r="AK516">
        <v>0</v>
      </c>
      <c r="AL516">
        <v>0</v>
      </c>
      <c r="AM516">
        <v>0</v>
      </c>
      <c r="AN516">
        <v>0</v>
      </c>
      <c r="AO516">
        <v>0</v>
      </c>
      <c r="AP516">
        <v>0</v>
      </c>
      <c r="AQ516">
        <v>0</v>
      </c>
      <c r="AR516">
        <v>22</v>
      </c>
      <c r="AS516" t="s">
        <v>2598</v>
      </c>
    </row>
    <row r="517" spans="1:45" x14ac:dyDescent="0.25">
      <c r="A517">
        <v>64</v>
      </c>
      <c r="B517" t="str">
        <f>VLOOKUP(A517,'model groups'!$A$3:$C$86,2,FALSE)</f>
        <v>echinoderms</v>
      </c>
      <c r="C517" t="s">
        <v>1597</v>
      </c>
      <c r="D517" t="s">
        <v>1598</v>
      </c>
      <c r="E517" t="s">
        <v>1598</v>
      </c>
      <c r="G517" t="s">
        <v>1581</v>
      </c>
      <c r="H517" t="s">
        <v>1599</v>
      </c>
      <c r="I517" t="s">
        <v>1600</v>
      </c>
      <c r="J517" t="s">
        <v>1601</v>
      </c>
      <c r="T517" t="str">
        <f t="shared" si="18"/>
        <v>no</v>
      </c>
      <c r="U517" s="1"/>
      <c r="V517" s="1"/>
      <c r="W517" s="1"/>
      <c r="X517" s="1"/>
      <c r="Y517" s="1"/>
      <c r="Z517" s="1"/>
      <c r="AA517" s="1"/>
      <c r="AB517" s="1"/>
      <c r="AG517">
        <v>1</v>
      </c>
      <c r="AH517">
        <v>0</v>
      </c>
      <c r="AI517">
        <v>0</v>
      </c>
      <c r="AJ517">
        <v>0</v>
      </c>
      <c r="AK517">
        <v>0</v>
      </c>
      <c r="AL517">
        <v>0</v>
      </c>
      <c r="AM517">
        <v>0</v>
      </c>
      <c r="AN517">
        <v>0</v>
      </c>
      <c r="AO517">
        <v>0</v>
      </c>
      <c r="AP517">
        <v>0</v>
      </c>
      <c r="AQ517">
        <v>0</v>
      </c>
      <c r="AR517">
        <v>22</v>
      </c>
      <c r="AS517" t="s">
        <v>2598</v>
      </c>
    </row>
    <row r="518" spans="1:45" x14ac:dyDescent="0.25">
      <c r="A518">
        <v>64</v>
      </c>
      <c r="B518" t="str">
        <f>VLOOKUP(A518,'model groups'!$A$3:$C$86,2,FALSE)</f>
        <v>echinoderms</v>
      </c>
      <c r="D518" t="s">
        <v>1602</v>
      </c>
      <c r="E518" t="s">
        <v>1602</v>
      </c>
      <c r="G518" t="s">
        <v>1581</v>
      </c>
      <c r="H518" t="s">
        <v>1599</v>
      </c>
      <c r="I518" t="s">
        <v>1603</v>
      </c>
      <c r="J518" t="s">
        <v>1601</v>
      </c>
      <c r="T518" t="str">
        <f t="shared" si="18"/>
        <v>no</v>
      </c>
      <c r="U518" s="1"/>
      <c r="V518" s="1"/>
      <c r="W518" s="1"/>
      <c r="X518" s="1"/>
      <c r="Y518" s="1"/>
      <c r="Z518" s="1"/>
      <c r="AA518" s="1"/>
      <c r="AB518" s="1"/>
      <c r="AG518">
        <v>1</v>
      </c>
      <c r="AH518">
        <v>0</v>
      </c>
      <c r="AI518">
        <v>0</v>
      </c>
      <c r="AJ518">
        <v>0</v>
      </c>
      <c r="AK518">
        <v>0</v>
      </c>
      <c r="AL518">
        <v>0</v>
      </c>
      <c r="AM518">
        <v>0</v>
      </c>
      <c r="AN518">
        <v>0</v>
      </c>
      <c r="AO518">
        <v>0</v>
      </c>
      <c r="AP518">
        <v>0</v>
      </c>
      <c r="AQ518">
        <v>0</v>
      </c>
      <c r="AR518">
        <v>22</v>
      </c>
      <c r="AS518" t="s">
        <v>2598</v>
      </c>
    </row>
    <row r="519" spans="1:45" x14ac:dyDescent="0.25">
      <c r="A519">
        <v>64</v>
      </c>
      <c r="B519" t="str">
        <f>VLOOKUP(A519,'model groups'!$A$3:$C$86,2,FALSE)</f>
        <v>echinoderms</v>
      </c>
      <c r="C519" t="s">
        <v>1604</v>
      </c>
      <c r="D519" t="s">
        <v>1605</v>
      </c>
      <c r="E519" t="s">
        <v>1605</v>
      </c>
      <c r="G519" t="s">
        <v>1581</v>
      </c>
      <c r="H519" t="s">
        <v>1599</v>
      </c>
      <c r="I519" t="s">
        <v>1606</v>
      </c>
      <c r="J519" t="s">
        <v>1607</v>
      </c>
      <c r="T519" t="str">
        <f t="shared" si="18"/>
        <v>no</v>
      </c>
      <c r="U519" s="1"/>
      <c r="V519" s="1"/>
      <c r="W519" s="1"/>
      <c r="X519" s="1"/>
      <c r="Y519" s="1"/>
      <c r="Z519" s="1"/>
      <c r="AA519" s="1"/>
      <c r="AB519" s="1"/>
      <c r="AG519">
        <v>1</v>
      </c>
      <c r="AH519">
        <v>0</v>
      </c>
      <c r="AI519">
        <v>0</v>
      </c>
      <c r="AJ519">
        <v>0</v>
      </c>
      <c r="AK519">
        <v>0</v>
      </c>
      <c r="AL519">
        <v>0</v>
      </c>
      <c r="AM519">
        <v>0</v>
      </c>
      <c r="AN519">
        <v>0</v>
      </c>
      <c r="AO519">
        <v>0</v>
      </c>
      <c r="AP519">
        <v>0</v>
      </c>
      <c r="AQ519">
        <v>0</v>
      </c>
      <c r="AR519">
        <v>22</v>
      </c>
      <c r="AS519" t="s">
        <v>2598</v>
      </c>
    </row>
    <row r="520" spans="1:45" x14ac:dyDescent="0.25">
      <c r="A520">
        <v>64</v>
      </c>
      <c r="B520" t="str">
        <f>VLOOKUP(A520,'model groups'!$A$3:$C$86,2,FALSE)</f>
        <v>echinoderms</v>
      </c>
      <c r="C520" t="s">
        <v>1608</v>
      </c>
      <c r="D520" t="s">
        <v>1609</v>
      </c>
      <c r="E520" t="s">
        <v>1609</v>
      </c>
      <c r="G520" t="s">
        <v>1610</v>
      </c>
      <c r="H520" t="s">
        <v>1611</v>
      </c>
      <c r="I520" t="s">
        <v>1612</v>
      </c>
      <c r="J520" t="s">
        <v>1613</v>
      </c>
      <c r="T520" t="str">
        <f t="shared" si="18"/>
        <v>no</v>
      </c>
      <c r="U520" s="1"/>
      <c r="V520" s="1"/>
      <c r="W520" s="1"/>
      <c r="X520" s="1"/>
      <c r="Y520" s="1"/>
      <c r="Z520" s="1"/>
      <c r="AA520" s="1"/>
      <c r="AB520" s="1"/>
      <c r="AG520">
        <v>1</v>
      </c>
      <c r="AH520">
        <v>0</v>
      </c>
      <c r="AI520">
        <v>0</v>
      </c>
      <c r="AJ520">
        <v>0</v>
      </c>
      <c r="AK520">
        <v>0</v>
      </c>
      <c r="AL520">
        <v>0</v>
      </c>
      <c r="AM520">
        <v>0</v>
      </c>
      <c r="AN520">
        <v>0</v>
      </c>
      <c r="AO520">
        <v>0</v>
      </c>
      <c r="AP520">
        <v>0</v>
      </c>
      <c r="AQ520">
        <v>0</v>
      </c>
      <c r="AR520">
        <v>22</v>
      </c>
      <c r="AS520" t="s">
        <v>2598</v>
      </c>
    </row>
    <row r="521" spans="1:45" x14ac:dyDescent="0.25">
      <c r="A521">
        <v>64</v>
      </c>
      <c r="B521" t="str">
        <f>VLOOKUP(A521,'model groups'!$A$3:$C$86,2,FALSE)</f>
        <v>echinoderms</v>
      </c>
      <c r="C521" t="s">
        <v>1614</v>
      </c>
      <c r="D521" t="s">
        <v>1615</v>
      </c>
      <c r="E521" t="s">
        <v>1615</v>
      </c>
      <c r="G521" t="s">
        <v>1551</v>
      </c>
      <c r="H521" t="s">
        <v>1616</v>
      </c>
      <c r="I521" t="s">
        <v>1617</v>
      </c>
      <c r="J521" t="s">
        <v>1618</v>
      </c>
      <c r="T521" t="str">
        <f t="shared" si="18"/>
        <v>no</v>
      </c>
      <c r="U521" s="1"/>
      <c r="V521" s="1"/>
      <c r="W521" s="1"/>
      <c r="X521" s="1"/>
      <c r="Y521" s="1"/>
      <c r="Z521" s="1"/>
      <c r="AA521" s="1"/>
      <c r="AB521" s="1"/>
      <c r="AG521">
        <v>1</v>
      </c>
      <c r="AH521">
        <v>0</v>
      </c>
      <c r="AI521">
        <v>0</v>
      </c>
      <c r="AJ521">
        <v>0</v>
      </c>
      <c r="AK521">
        <v>0</v>
      </c>
      <c r="AL521">
        <v>0</v>
      </c>
      <c r="AM521">
        <v>0</v>
      </c>
      <c r="AN521">
        <v>0</v>
      </c>
      <c r="AO521">
        <v>0</v>
      </c>
      <c r="AP521">
        <v>0</v>
      </c>
      <c r="AQ521">
        <v>0</v>
      </c>
      <c r="AR521">
        <v>22</v>
      </c>
      <c r="AS521" t="s">
        <v>2598</v>
      </c>
    </row>
    <row r="522" spans="1:45" x14ac:dyDescent="0.25">
      <c r="A522">
        <v>66</v>
      </c>
      <c r="B522" t="str">
        <f>VLOOKUP(A522,'model groups'!$A$3:$C$86,2,FALSE)</f>
        <v>bivalves</v>
      </c>
      <c r="C522" t="s">
        <v>71</v>
      </c>
      <c r="D522" t="s">
        <v>1619</v>
      </c>
      <c r="E522" t="s">
        <v>1619</v>
      </c>
      <c r="G522" t="s">
        <v>71</v>
      </c>
      <c r="H522" t="s">
        <v>71</v>
      </c>
      <c r="I522" t="s">
        <v>71</v>
      </c>
      <c r="J522" t="s">
        <v>71</v>
      </c>
      <c r="K522" t="s">
        <v>1620</v>
      </c>
      <c r="L522" t="s">
        <v>71</v>
      </c>
      <c r="M522" t="s">
        <v>71</v>
      </c>
      <c r="N522" t="s">
        <v>71</v>
      </c>
      <c r="O522" t="s">
        <v>71</v>
      </c>
      <c r="P522" t="s">
        <v>71</v>
      </c>
      <c r="Q522" t="s">
        <v>71</v>
      </c>
      <c r="R522" t="s">
        <v>71</v>
      </c>
      <c r="S522" t="s">
        <v>71</v>
      </c>
      <c r="U522" t="s">
        <v>71</v>
      </c>
      <c r="V522" t="s">
        <v>71</v>
      </c>
      <c r="W522" t="s">
        <v>71</v>
      </c>
      <c r="X522" t="s">
        <v>71</v>
      </c>
      <c r="Y522" t="s">
        <v>71</v>
      </c>
      <c r="Z522" t="s">
        <v>71</v>
      </c>
      <c r="AA522" t="s">
        <v>71</v>
      </c>
      <c r="AB522" t="s">
        <v>71</v>
      </c>
      <c r="AC522" t="s">
        <v>71</v>
      </c>
      <c r="AD522" t="s">
        <v>71</v>
      </c>
      <c r="AE522" t="s">
        <v>71</v>
      </c>
      <c r="AF522" t="s">
        <v>71</v>
      </c>
      <c r="AG522">
        <v>0</v>
      </c>
      <c r="AH522">
        <v>0</v>
      </c>
      <c r="AI522">
        <v>0</v>
      </c>
      <c r="AJ522">
        <v>0</v>
      </c>
      <c r="AK522">
        <v>0</v>
      </c>
      <c r="AL522">
        <v>0</v>
      </c>
      <c r="AM522">
        <v>0</v>
      </c>
      <c r="AN522">
        <v>0</v>
      </c>
      <c r="AO522">
        <v>0</v>
      </c>
      <c r="AP522">
        <v>0</v>
      </c>
      <c r="AQ522">
        <v>1</v>
      </c>
      <c r="AR522">
        <v>22</v>
      </c>
      <c r="AS522" t="s">
        <v>2598</v>
      </c>
    </row>
    <row r="523" spans="1:45" x14ac:dyDescent="0.25">
      <c r="A523">
        <v>66</v>
      </c>
      <c r="B523" t="str">
        <f>VLOOKUP(A523,'model groups'!$A$3:$C$86,2,FALSE)</f>
        <v>bivalves</v>
      </c>
      <c r="C523" t="s">
        <v>71</v>
      </c>
      <c r="D523" t="s">
        <v>1621</v>
      </c>
      <c r="E523" t="s">
        <v>1621</v>
      </c>
      <c r="G523" t="s">
        <v>1622</v>
      </c>
      <c r="H523" t="s">
        <v>71</v>
      </c>
      <c r="I523" t="s">
        <v>71</v>
      </c>
      <c r="J523" t="s">
        <v>71</v>
      </c>
      <c r="K523" t="s">
        <v>1623</v>
      </c>
      <c r="L523" t="s">
        <v>71</v>
      </c>
      <c r="M523" t="s">
        <v>71</v>
      </c>
      <c r="N523" t="s">
        <v>71</v>
      </c>
      <c r="O523" t="s">
        <v>71</v>
      </c>
      <c r="P523" t="s">
        <v>71</v>
      </c>
      <c r="Q523" t="s">
        <v>71</v>
      </c>
      <c r="R523" t="s">
        <v>71</v>
      </c>
      <c r="S523" t="s">
        <v>71</v>
      </c>
      <c r="U523" t="s">
        <v>71</v>
      </c>
      <c r="V523" t="s">
        <v>71</v>
      </c>
      <c r="W523" t="s">
        <v>71</v>
      </c>
      <c r="X523" t="s">
        <v>71</v>
      </c>
      <c r="Y523" t="s">
        <v>71</v>
      </c>
      <c r="Z523" t="s">
        <v>71</v>
      </c>
      <c r="AA523" t="s">
        <v>71</v>
      </c>
      <c r="AB523" t="s">
        <v>71</v>
      </c>
      <c r="AC523" t="s">
        <v>71</v>
      </c>
      <c r="AD523" t="s">
        <v>71</v>
      </c>
      <c r="AE523" t="s">
        <v>71</v>
      </c>
      <c r="AF523" t="s">
        <v>71</v>
      </c>
      <c r="AG523">
        <v>0</v>
      </c>
      <c r="AH523">
        <v>0</v>
      </c>
      <c r="AI523">
        <v>0</v>
      </c>
      <c r="AJ523">
        <v>0</v>
      </c>
      <c r="AK523">
        <v>0</v>
      </c>
      <c r="AL523">
        <v>0</v>
      </c>
      <c r="AM523">
        <v>0</v>
      </c>
      <c r="AN523">
        <v>0</v>
      </c>
      <c r="AO523">
        <v>0</v>
      </c>
      <c r="AP523">
        <v>0</v>
      </c>
      <c r="AQ523">
        <v>1</v>
      </c>
      <c r="AR523">
        <v>22</v>
      </c>
      <c r="AS523" t="s">
        <v>2598</v>
      </c>
    </row>
    <row r="524" spans="1:45" x14ac:dyDescent="0.25">
      <c r="A524">
        <v>66</v>
      </c>
      <c r="B524" t="str">
        <f>VLOOKUP(A524,'model groups'!$A$3:$C$86,2,FALSE)</f>
        <v>bivalves</v>
      </c>
      <c r="C524" t="s">
        <v>1624</v>
      </c>
      <c r="D524" t="s">
        <v>1625</v>
      </c>
      <c r="E524" t="s">
        <v>1625</v>
      </c>
      <c r="G524" t="s">
        <v>1622</v>
      </c>
      <c r="H524" t="s">
        <v>1626</v>
      </c>
      <c r="I524" t="s">
        <v>1627</v>
      </c>
      <c r="J524" t="s">
        <v>1628</v>
      </c>
      <c r="K524" t="s">
        <v>1629</v>
      </c>
      <c r="L524" s="4" t="s">
        <v>71</v>
      </c>
      <c r="M524" s="4" t="s">
        <v>71</v>
      </c>
      <c r="N524" s="4" t="s">
        <v>71</v>
      </c>
      <c r="O524" s="4" t="s">
        <v>71</v>
      </c>
      <c r="P524" s="4" t="s">
        <v>71</v>
      </c>
      <c r="Q524" s="4" t="s">
        <v>71</v>
      </c>
      <c r="R524" t="s">
        <v>71</v>
      </c>
      <c r="S524" t="s">
        <v>71</v>
      </c>
      <c r="T524" t="str">
        <f>IF(OR(AK524=1,AN524=1),"reef","no")</f>
        <v>no</v>
      </c>
      <c r="U524" t="s">
        <v>71</v>
      </c>
      <c r="V524" t="s">
        <v>71</v>
      </c>
      <c r="W524" t="s">
        <v>71</v>
      </c>
      <c r="X524" t="s">
        <v>71</v>
      </c>
      <c r="Y524" t="s">
        <v>71</v>
      </c>
      <c r="Z524" t="s">
        <v>71</v>
      </c>
      <c r="AA524" t="s">
        <v>71</v>
      </c>
      <c r="AB524" t="s">
        <v>71</v>
      </c>
      <c r="AC524" t="s">
        <v>71</v>
      </c>
      <c r="AD524" t="s">
        <v>71</v>
      </c>
      <c r="AE524" t="s">
        <v>71</v>
      </c>
      <c r="AF524" t="s">
        <v>71</v>
      </c>
      <c r="AG524">
        <v>0</v>
      </c>
      <c r="AH524">
        <v>0</v>
      </c>
      <c r="AI524">
        <v>0</v>
      </c>
      <c r="AJ524">
        <v>0</v>
      </c>
      <c r="AK524">
        <v>0</v>
      </c>
      <c r="AL524">
        <v>0</v>
      </c>
      <c r="AM524">
        <v>0</v>
      </c>
      <c r="AN524">
        <v>0</v>
      </c>
      <c r="AO524">
        <v>0</v>
      </c>
      <c r="AP524">
        <v>0</v>
      </c>
      <c r="AQ524">
        <v>1</v>
      </c>
      <c r="AR524">
        <v>22</v>
      </c>
      <c r="AS524" t="s">
        <v>2598</v>
      </c>
    </row>
    <row r="525" spans="1:45" x14ac:dyDescent="0.25">
      <c r="A525">
        <v>66</v>
      </c>
      <c r="B525" t="str">
        <f>VLOOKUP(A525,'model groups'!$A$3:$C$86,2,FALSE)</f>
        <v>bivalves</v>
      </c>
      <c r="C525" t="s">
        <v>1630</v>
      </c>
      <c r="D525" t="s">
        <v>1631</v>
      </c>
      <c r="E525" t="s">
        <v>1631</v>
      </c>
      <c r="G525" t="s">
        <v>1622</v>
      </c>
      <c r="H525" t="s">
        <v>1626</v>
      </c>
      <c r="I525" t="s">
        <v>1632</v>
      </c>
      <c r="J525" t="s">
        <v>1633</v>
      </c>
      <c r="T525" t="str">
        <f>IF(OR(AK525=1,AN525=1),"reef","no")</f>
        <v>no</v>
      </c>
      <c r="U525" s="1"/>
      <c r="V525" s="1"/>
      <c r="W525" s="1"/>
      <c r="X525" s="1"/>
      <c r="Y525" s="1"/>
      <c r="Z525" s="1"/>
      <c r="AA525" s="1"/>
      <c r="AB525" s="1"/>
      <c r="AG525">
        <v>1</v>
      </c>
      <c r="AH525">
        <v>0</v>
      </c>
      <c r="AI525">
        <v>0</v>
      </c>
      <c r="AJ525">
        <v>0</v>
      </c>
      <c r="AK525">
        <v>0</v>
      </c>
      <c r="AL525">
        <v>0</v>
      </c>
      <c r="AM525">
        <v>0</v>
      </c>
      <c r="AN525">
        <v>0</v>
      </c>
      <c r="AO525">
        <v>0</v>
      </c>
      <c r="AP525">
        <v>0</v>
      </c>
      <c r="AQ525">
        <v>1</v>
      </c>
      <c r="AR525">
        <v>22</v>
      </c>
      <c r="AS525" t="s">
        <v>2598</v>
      </c>
    </row>
    <row r="526" spans="1:45" x14ac:dyDescent="0.25">
      <c r="A526">
        <v>66</v>
      </c>
      <c r="B526" t="str">
        <f>VLOOKUP(A526,'model groups'!$A$3:$C$86,2,FALSE)</f>
        <v>bivalves</v>
      </c>
      <c r="D526" t="s">
        <v>1634</v>
      </c>
      <c r="E526" t="s">
        <v>1635</v>
      </c>
      <c r="G526" t="s">
        <v>1622</v>
      </c>
      <c r="H526" t="s">
        <v>1636</v>
      </c>
      <c r="I526" t="s">
        <v>1632</v>
      </c>
      <c r="J526" t="s">
        <v>1633</v>
      </c>
      <c r="T526" t="str">
        <f>IF(OR(AK526=1,AN526=1),"reef","no")</f>
        <v>no</v>
      </c>
      <c r="U526" s="1"/>
      <c r="V526" s="1"/>
      <c r="W526" s="1"/>
      <c r="X526" s="1"/>
      <c r="Y526" s="1"/>
      <c r="Z526" s="1"/>
      <c r="AA526" s="1"/>
      <c r="AB526" s="1"/>
      <c r="AG526">
        <v>0</v>
      </c>
      <c r="AH526">
        <v>0</v>
      </c>
      <c r="AI526">
        <v>0</v>
      </c>
      <c r="AJ526">
        <v>0</v>
      </c>
      <c r="AK526">
        <v>0</v>
      </c>
      <c r="AL526">
        <v>0</v>
      </c>
      <c r="AM526">
        <v>1</v>
      </c>
      <c r="AN526">
        <v>0</v>
      </c>
      <c r="AO526">
        <v>0</v>
      </c>
      <c r="AP526">
        <v>0</v>
      </c>
      <c r="AQ526">
        <v>0</v>
      </c>
      <c r="AR526">
        <v>22</v>
      </c>
      <c r="AS526" t="s">
        <v>2598</v>
      </c>
    </row>
    <row r="527" spans="1:45" x14ac:dyDescent="0.25">
      <c r="A527">
        <v>66</v>
      </c>
      <c r="B527" t="str">
        <f>VLOOKUP(A527,'model groups'!$A$3:$C$86,2,FALSE)</f>
        <v>bivalves</v>
      </c>
      <c r="C527" t="s">
        <v>1637</v>
      </c>
      <c r="D527" t="s">
        <v>1638</v>
      </c>
      <c r="E527" t="s">
        <v>1639</v>
      </c>
      <c r="G527" t="s">
        <v>1622</v>
      </c>
      <c r="H527" t="s">
        <v>1626</v>
      </c>
      <c r="I527" t="s">
        <v>1632</v>
      </c>
      <c r="J527" t="s">
        <v>1640</v>
      </c>
      <c r="T527" t="str">
        <f>IF(OR(AK527=1,AN527=1),"reef","no")</f>
        <v>no</v>
      </c>
      <c r="U527" s="1"/>
      <c r="V527" s="1"/>
      <c r="W527" s="1"/>
      <c r="X527" s="1"/>
      <c r="Y527" s="1"/>
      <c r="Z527" s="1"/>
      <c r="AA527" s="1"/>
      <c r="AB527" s="1"/>
      <c r="AG527">
        <v>1</v>
      </c>
      <c r="AH527">
        <v>0</v>
      </c>
      <c r="AI527">
        <v>0</v>
      </c>
      <c r="AJ527">
        <v>0</v>
      </c>
      <c r="AK527">
        <v>0</v>
      </c>
      <c r="AL527">
        <v>0</v>
      </c>
      <c r="AM527">
        <v>0</v>
      </c>
      <c r="AN527">
        <v>0</v>
      </c>
      <c r="AO527">
        <v>0</v>
      </c>
      <c r="AP527">
        <v>0</v>
      </c>
      <c r="AQ527">
        <v>0</v>
      </c>
      <c r="AR527">
        <v>22</v>
      </c>
      <c r="AS527" t="s">
        <v>2598</v>
      </c>
    </row>
    <row r="528" spans="1:45" x14ac:dyDescent="0.25">
      <c r="A528">
        <v>66</v>
      </c>
      <c r="B528" t="str">
        <f>VLOOKUP(A528,'model groups'!$A$3:$C$86,2,FALSE)</f>
        <v>bivalves</v>
      </c>
      <c r="C528" t="s">
        <v>1641</v>
      </c>
      <c r="D528" t="s">
        <v>1642</v>
      </c>
      <c r="E528" t="s">
        <v>1642</v>
      </c>
      <c r="G528" t="s">
        <v>1622</v>
      </c>
      <c r="H528" t="s">
        <v>1643</v>
      </c>
      <c r="I528" t="s">
        <v>1644</v>
      </c>
      <c r="J528" t="s">
        <v>1645</v>
      </c>
      <c r="K528" t="s">
        <v>1646</v>
      </c>
      <c r="L528" s="4" t="s">
        <v>71</v>
      </c>
      <c r="M528" s="4" t="s">
        <v>71</v>
      </c>
      <c r="N528" s="4" t="s">
        <v>71</v>
      </c>
      <c r="O528" s="4" t="s">
        <v>71</v>
      </c>
      <c r="P528" s="4" t="s">
        <v>71</v>
      </c>
      <c r="Q528" s="4" t="s">
        <v>71</v>
      </c>
      <c r="R528" t="s">
        <v>71</v>
      </c>
      <c r="S528" t="s">
        <v>71</v>
      </c>
      <c r="T528" t="str">
        <f>IF(OR(AK528=1,AN528=1),"reef","no")</f>
        <v>no</v>
      </c>
      <c r="U528" t="s">
        <v>71</v>
      </c>
      <c r="V528" t="s">
        <v>71</v>
      </c>
      <c r="W528" t="s">
        <v>71</v>
      </c>
      <c r="X528" t="s">
        <v>71</v>
      </c>
      <c r="Y528" t="s">
        <v>71</v>
      </c>
      <c r="Z528" t="s">
        <v>71</v>
      </c>
      <c r="AA528" t="s">
        <v>71</v>
      </c>
      <c r="AB528" t="s">
        <v>71</v>
      </c>
      <c r="AC528" t="s">
        <v>71</v>
      </c>
      <c r="AD528" t="s">
        <v>71</v>
      </c>
      <c r="AE528" t="s">
        <v>71</v>
      </c>
      <c r="AF528" t="s">
        <v>71</v>
      </c>
      <c r="AG528">
        <v>0</v>
      </c>
      <c r="AH528">
        <v>0</v>
      </c>
      <c r="AI528">
        <v>0</v>
      </c>
      <c r="AJ528">
        <v>0</v>
      </c>
      <c r="AK528">
        <v>0</v>
      </c>
      <c r="AL528">
        <v>0</v>
      </c>
      <c r="AM528">
        <v>0</v>
      </c>
      <c r="AN528">
        <v>0</v>
      </c>
      <c r="AO528">
        <v>0</v>
      </c>
      <c r="AP528">
        <v>0</v>
      </c>
      <c r="AQ528">
        <v>1</v>
      </c>
      <c r="AR528">
        <v>22</v>
      </c>
      <c r="AS528" t="s">
        <v>2598</v>
      </c>
    </row>
    <row r="529" spans="1:45" x14ac:dyDescent="0.25">
      <c r="A529">
        <v>66</v>
      </c>
      <c r="B529" t="str">
        <f>VLOOKUP(A529,'model groups'!$A$3:$C$86,2,FALSE)</f>
        <v>bivalves</v>
      </c>
      <c r="C529" t="s">
        <v>71</v>
      </c>
      <c r="D529" t="s">
        <v>1647</v>
      </c>
      <c r="E529" t="s">
        <v>1647</v>
      </c>
      <c r="G529" t="s">
        <v>1622</v>
      </c>
      <c r="H529" t="s">
        <v>1643</v>
      </c>
      <c r="I529" t="s">
        <v>1644</v>
      </c>
      <c r="J529" t="s">
        <v>1648</v>
      </c>
      <c r="K529" t="s">
        <v>1649</v>
      </c>
      <c r="L529" t="s">
        <v>71</v>
      </c>
      <c r="M529" t="s">
        <v>71</v>
      </c>
      <c r="N529" t="s">
        <v>71</v>
      </c>
      <c r="O529" t="s">
        <v>71</v>
      </c>
      <c r="P529" t="s">
        <v>71</v>
      </c>
      <c r="Q529" t="s">
        <v>71</v>
      </c>
      <c r="R529" t="s">
        <v>71</v>
      </c>
      <c r="S529" t="s">
        <v>71</v>
      </c>
      <c r="U529" t="s">
        <v>71</v>
      </c>
      <c r="V529" t="s">
        <v>71</v>
      </c>
      <c r="W529" t="s">
        <v>71</v>
      </c>
      <c r="X529" t="s">
        <v>71</v>
      </c>
      <c r="Y529" t="s">
        <v>71</v>
      </c>
      <c r="Z529" t="s">
        <v>71</v>
      </c>
      <c r="AA529" t="s">
        <v>71</v>
      </c>
      <c r="AB529" t="s">
        <v>71</v>
      </c>
      <c r="AC529" t="s">
        <v>71</v>
      </c>
      <c r="AD529" t="s">
        <v>71</v>
      </c>
      <c r="AE529" t="s">
        <v>71</v>
      </c>
      <c r="AF529" t="s">
        <v>71</v>
      </c>
      <c r="AG529">
        <v>0</v>
      </c>
      <c r="AH529">
        <v>0</v>
      </c>
      <c r="AI529">
        <v>0</v>
      </c>
      <c r="AJ529">
        <v>0</v>
      </c>
      <c r="AK529">
        <v>0</v>
      </c>
      <c r="AL529">
        <v>0</v>
      </c>
      <c r="AM529">
        <v>0</v>
      </c>
      <c r="AN529">
        <v>0</v>
      </c>
      <c r="AO529">
        <v>0</v>
      </c>
      <c r="AP529">
        <v>0</v>
      </c>
      <c r="AQ529">
        <v>1</v>
      </c>
      <c r="AR529">
        <v>22</v>
      </c>
      <c r="AS529" t="s">
        <v>2598</v>
      </c>
    </row>
    <row r="530" spans="1:45" x14ac:dyDescent="0.25">
      <c r="A530">
        <v>67</v>
      </c>
      <c r="B530" t="str">
        <f>VLOOKUP(A530,'model groups'!$A$3:$C$86,2,FALSE)</f>
        <v>sessile epibenthos</v>
      </c>
      <c r="C530" t="s">
        <v>1650</v>
      </c>
      <c r="D530" t="s">
        <v>1651</v>
      </c>
      <c r="E530" t="s">
        <v>1651</v>
      </c>
      <c r="G530" t="s">
        <v>1652</v>
      </c>
      <c r="H530" t="s">
        <v>1653</v>
      </c>
      <c r="I530" t="s">
        <v>1654</v>
      </c>
      <c r="J530" t="s">
        <v>1655</v>
      </c>
      <c r="K530" t="s">
        <v>1656</v>
      </c>
      <c r="L530" s="4" t="s">
        <v>71</v>
      </c>
      <c r="M530" s="4" t="s">
        <v>71</v>
      </c>
      <c r="N530" s="4" t="s">
        <v>71</v>
      </c>
      <c r="O530" s="4" t="s">
        <v>71</v>
      </c>
      <c r="P530" s="4" t="s">
        <v>71</v>
      </c>
      <c r="Q530" s="4" t="s">
        <v>71</v>
      </c>
      <c r="R530" t="s">
        <v>71</v>
      </c>
      <c r="S530" t="s">
        <v>71</v>
      </c>
      <c r="T530" t="str">
        <f t="shared" ref="T530:T544" si="19">IF(OR(AK530=1,AN530=1),"reef","no")</f>
        <v>no</v>
      </c>
      <c r="U530" t="s">
        <v>71</v>
      </c>
      <c r="V530" t="s">
        <v>71</v>
      </c>
      <c r="W530" t="s">
        <v>71</v>
      </c>
      <c r="X530" t="s">
        <v>71</v>
      </c>
      <c r="Y530" t="s">
        <v>71</v>
      </c>
      <c r="Z530" t="s">
        <v>71</v>
      </c>
      <c r="AA530" t="s">
        <v>71</v>
      </c>
      <c r="AB530" t="s">
        <v>71</v>
      </c>
      <c r="AC530" t="s">
        <v>71</v>
      </c>
      <c r="AD530" t="s">
        <v>71</v>
      </c>
      <c r="AE530" t="s">
        <v>71</v>
      </c>
      <c r="AF530" t="s">
        <v>71</v>
      </c>
      <c r="AG530">
        <v>0</v>
      </c>
      <c r="AH530">
        <v>0</v>
      </c>
      <c r="AI530">
        <v>0</v>
      </c>
      <c r="AJ530">
        <v>0</v>
      </c>
      <c r="AK530">
        <v>0</v>
      </c>
      <c r="AL530">
        <v>0</v>
      </c>
      <c r="AM530">
        <v>0</v>
      </c>
      <c r="AN530">
        <v>0</v>
      </c>
      <c r="AO530">
        <v>0</v>
      </c>
      <c r="AP530">
        <v>0</v>
      </c>
      <c r="AQ530">
        <v>1</v>
      </c>
      <c r="AR530">
        <v>22</v>
      </c>
      <c r="AS530" t="s">
        <v>2598</v>
      </c>
    </row>
    <row r="531" spans="1:45" x14ac:dyDescent="0.25">
      <c r="A531">
        <v>67</v>
      </c>
      <c r="B531" t="str">
        <f>VLOOKUP(A531,'model groups'!$A$3:$C$86,2,FALSE)</f>
        <v>sessile epibenthos</v>
      </c>
      <c r="C531" t="s">
        <v>1657</v>
      </c>
      <c r="D531" t="s">
        <v>1658</v>
      </c>
      <c r="E531" t="s">
        <v>1658</v>
      </c>
      <c r="G531" t="s">
        <v>1652</v>
      </c>
      <c r="H531" t="s">
        <v>1653</v>
      </c>
      <c r="I531" t="s">
        <v>1654</v>
      </c>
      <c r="J531" t="s">
        <v>1659</v>
      </c>
      <c r="K531" t="s">
        <v>1660</v>
      </c>
      <c r="L531" s="4" t="s">
        <v>71</v>
      </c>
      <c r="M531" s="4" t="s">
        <v>71</v>
      </c>
      <c r="N531" s="4" t="s">
        <v>71</v>
      </c>
      <c r="O531" s="4" t="s">
        <v>71</v>
      </c>
      <c r="P531" s="4" t="s">
        <v>71</v>
      </c>
      <c r="Q531" s="4" t="s">
        <v>71</v>
      </c>
      <c r="R531" t="s">
        <v>71</v>
      </c>
      <c r="S531" t="s">
        <v>71</v>
      </c>
      <c r="T531" t="str">
        <f t="shared" si="19"/>
        <v>no</v>
      </c>
      <c r="U531" t="s">
        <v>71</v>
      </c>
      <c r="V531" t="s">
        <v>71</v>
      </c>
      <c r="W531" t="s">
        <v>71</v>
      </c>
      <c r="X531" t="s">
        <v>71</v>
      </c>
      <c r="Y531" t="s">
        <v>71</v>
      </c>
      <c r="Z531" t="s">
        <v>71</v>
      </c>
      <c r="AA531" t="s">
        <v>71</v>
      </c>
      <c r="AB531" t="s">
        <v>71</v>
      </c>
      <c r="AC531" t="s">
        <v>71</v>
      </c>
      <c r="AD531" t="s">
        <v>71</v>
      </c>
      <c r="AE531" t="s">
        <v>71</v>
      </c>
      <c r="AF531" t="s">
        <v>71</v>
      </c>
      <c r="AG531">
        <v>0</v>
      </c>
      <c r="AH531">
        <v>0</v>
      </c>
      <c r="AI531">
        <v>0</v>
      </c>
      <c r="AJ531">
        <v>0</v>
      </c>
      <c r="AK531">
        <v>0</v>
      </c>
      <c r="AL531">
        <v>0</v>
      </c>
      <c r="AM531">
        <v>0</v>
      </c>
      <c r="AN531">
        <v>0</v>
      </c>
      <c r="AO531">
        <v>0</v>
      </c>
      <c r="AP531">
        <v>0</v>
      </c>
      <c r="AQ531">
        <v>1</v>
      </c>
      <c r="AR531">
        <v>22</v>
      </c>
      <c r="AS531" t="s">
        <v>2598</v>
      </c>
    </row>
    <row r="532" spans="1:45" x14ac:dyDescent="0.25">
      <c r="A532">
        <v>67</v>
      </c>
      <c r="B532" t="str">
        <f>VLOOKUP(A532,'model groups'!$A$3:$C$86,2,FALSE)</f>
        <v>sessile epibenthos</v>
      </c>
      <c r="D532" t="s">
        <v>1661</v>
      </c>
      <c r="E532" t="s">
        <v>1662</v>
      </c>
      <c r="T532" t="str">
        <f t="shared" si="19"/>
        <v>no</v>
      </c>
      <c r="U532" s="1"/>
      <c r="V532" s="1"/>
      <c r="W532" s="1"/>
      <c r="X532" s="1"/>
      <c r="Y532" s="1"/>
      <c r="Z532" s="1"/>
      <c r="AA532" s="1"/>
      <c r="AB532" s="1"/>
      <c r="AG532">
        <v>1</v>
      </c>
      <c r="AH532">
        <v>0</v>
      </c>
      <c r="AI532">
        <v>0</v>
      </c>
      <c r="AJ532">
        <v>0</v>
      </c>
      <c r="AK532">
        <v>0</v>
      </c>
      <c r="AL532">
        <v>0</v>
      </c>
      <c r="AM532">
        <v>0</v>
      </c>
      <c r="AN532">
        <v>0</v>
      </c>
      <c r="AO532">
        <v>0</v>
      </c>
      <c r="AP532">
        <v>0</v>
      </c>
      <c r="AQ532">
        <v>0</v>
      </c>
      <c r="AR532">
        <v>22</v>
      </c>
      <c r="AS532" t="s">
        <v>2598</v>
      </c>
    </row>
    <row r="533" spans="1:45" x14ac:dyDescent="0.25">
      <c r="A533">
        <v>67</v>
      </c>
      <c r="B533" t="str">
        <f>VLOOKUP(A533,'model groups'!$A$3:$C$86,2,FALSE)</f>
        <v>sessile epibenthos</v>
      </c>
      <c r="D533" t="s">
        <v>1661</v>
      </c>
      <c r="E533" t="s">
        <v>1663</v>
      </c>
      <c r="T533" t="str">
        <f t="shared" si="19"/>
        <v>no</v>
      </c>
      <c r="U533" s="1"/>
      <c r="V533" s="1"/>
      <c r="W533" s="1"/>
      <c r="X533" s="1"/>
      <c r="Y533" s="1"/>
      <c r="Z533" s="1"/>
      <c r="AA533" s="1"/>
      <c r="AB533" s="1"/>
      <c r="AG533">
        <v>1</v>
      </c>
      <c r="AH533">
        <v>0</v>
      </c>
      <c r="AI533">
        <v>0</v>
      </c>
      <c r="AJ533">
        <v>0</v>
      </c>
      <c r="AK533">
        <v>0</v>
      </c>
      <c r="AL533">
        <v>0</v>
      </c>
      <c r="AM533">
        <v>0</v>
      </c>
      <c r="AN533">
        <v>0</v>
      </c>
      <c r="AO533">
        <v>0</v>
      </c>
      <c r="AP533">
        <v>0</v>
      </c>
      <c r="AQ533">
        <v>0</v>
      </c>
      <c r="AR533">
        <v>22</v>
      </c>
      <c r="AS533" t="s">
        <v>2598</v>
      </c>
    </row>
    <row r="534" spans="1:45" x14ac:dyDescent="0.25">
      <c r="A534">
        <v>67</v>
      </c>
      <c r="B534" t="str">
        <f>VLOOKUP(A534,'model groups'!$A$3:$C$86,2,FALSE)</f>
        <v>sessile epibenthos</v>
      </c>
      <c r="D534" t="s">
        <v>1661</v>
      </c>
      <c r="E534" t="s">
        <v>1661</v>
      </c>
      <c r="T534" t="str">
        <f t="shared" si="19"/>
        <v>no</v>
      </c>
      <c r="U534" s="1"/>
      <c r="V534" s="1"/>
      <c r="W534" s="1"/>
      <c r="X534" s="1"/>
      <c r="Y534" s="1"/>
      <c r="Z534" s="1"/>
      <c r="AA534" s="1"/>
      <c r="AB534" s="1"/>
      <c r="AG534">
        <v>1</v>
      </c>
      <c r="AH534">
        <v>0</v>
      </c>
      <c r="AI534">
        <v>0</v>
      </c>
      <c r="AJ534">
        <v>0</v>
      </c>
      <c r="AK534">
        <v>0</v>
      </c>
      <c r="AL534">
        <v>0</v>
      </c>
      <c r="AM534">
        <v>0</v>
      </c>
      <c r="AN534">
        <v>0</v>
      </c>
      <c r="AO534">
        <v>0</v>
      </c>
      <c r="AP534">
        <v>0</v>
      </c>
      <c r="AQ534">
        <v>1</v>
      </c>
      <c r="AR534">
        <v>22</v>
      </c>
      <c r="AS534" t="s">
        <v>2598</v>
      </c>
    </row>
    <row r="535" spans="1:45" x14ac:dyDescent="0.25">
      <c r="A535">
        <v>67</v>
      </c>
      <c r="B535" t="str">
        <f>VLOOKUP(A535,'model groups'!$A$3:$C$86,2,FALSE)</f>
        <v>sessile epibenthos</v>
      </c>
      <c r="D535" t="s">
        <v>1661</v>
      </c>
      <c r="E535" t="s">
        <v>1664</v>
      </c>
      <c r="T535" t="str">
        <f t="shared" si="19"/>
        <v>no</v>
      </c>
      <c r="U535" s="1"/>
      <c r="V535" s="1"/>
      <c r="W535" s="1"/>
      <c r="X535" s="1"/>
      <c r="Y535" s="1"/>
      <c r="Z535" s="1"/>
      <c r="AA535" s="1"/>
      <c r="AB535" s="1"/>
      <c r="AG535">
        <v>1</v>
      </c>
      <c r="AH535">
        <v>0</v>
      </c>
      <c r="AI535">
        <v>0</v>
      </c>
      <c r="AJ535">
        <v>0</v>
      </c>
      <c r="AK535">
        <v>0</v>
      </c>
      <c r="AL535">
        <v>0</v>
      </c>
      <c r="AM535">
        <v>0</v>
      </c>
      <c r="AN535">
        <v>0</v>
      </c>
      <c r="AO535">
        <v>0</v>
      </c>
      <c r="AP535">
        <v>0</v>
      </c>
      <c r="AQ535">
        <v>0</v>
      </c>
      <c r="AR535">
        <v>22</v>
      </c>
      <c r="AS535" t="s">
        <v>2598</v>
      </c>
    </row>
    <row r="536" spans="1:45" x14ac:dyDescent="0.25">
      <c r="A536">
        <v>67</v>
      </c>
      <c r="B536" t="str">
        <f>VLOOKUP(A536,'model groups'!$A$3:$C$86,2,FALSE)</f>
        <v>sessile epibenthos</v>
      </c>
      <c r="D536" t="s">
        <v>1661</v>
      </c>
      <c r="E536" t="s">
        <v>1665</v>
      </c>
      <c r="T536" t="str">
        <f t="shared" si="19"/>
        <v>no</v>
      </c>
      <c r="U536" s="1"/>
      <c r="V536" s="1"/>
      <c r="W536" s="1"/>
      <c r="X536" s="1"/>
      <c r="Y536" s="1"/>
      <c r="Z536" s="1"/>
      <c r="AA536" s="1"/>
      <c r="AB536" s="1"/>
      <c r="AG536">
        <v>1</v>
      </c>
      <c r="AH536">
        <v>0</v>
      </c>
      <c r="AI536">
        <v>0</v>
      </c>
      <c r="AJ536">
        <v>0</v>
      </c>
      <c r="AK536">
        <v>0</v>
      </c>
      <c r="AL536">
        <v>0</v>
      </c>
      <c r="AM536">
        <v>0</v>
      </c>
      <c r="AN536">
        <v>0</v>
      </c>
      <c r="AO536">
        <v>0</v>
      </c>
      <c r="AP536">
        <v>0</v>
      </c>
      <c r="AQ536">
        <v>0</v>
      </c>
      <c r="AR536">
        <v>22</v>
      </c>
      <c r="AS536" t="s">
        <v>2598</v>
      </c>
    </row>
    <row r="537" spans="1:45" x14ac:dyDescent="0.25">
      <c r="A537">
        <v>67</v>
      </c>
      <c r="B537" t="str">
        <f>VLOOKUP(A537,'model groups'!$A$3:$C$86,2,FALSE)</f>
        <v>sessile epibenthos</v>
      </c>
      <c r="D537" t="s">
        <v>1661</v>
      </c>
      <c r="E537" t="s">
        <v>1666</v>
      </c>
      <c r="T537" t="str">
        <f t="shared" si="19"/>
        <v>no</v>
      </c>
      <c r="U537" s="1"/>
      <c r="V537" s="1"/>
      <c r="W537" s="1"/>
      <c r="X537" s="1"/>
      <c r="Y537" s="1"/>
      <c r="Z537" s="1"/>
      <c r="AA537" s="1"/>
      <c r="AB537" s="1"/>
      <c r="AG537">
        <v>1</v>
      </c>
      <c r="AH537">
        <v>0</v>
      </c>
      <c r="AI537">
        <v>0</v>
      </c>
      <c r="AJ537">
        <v>0</v>
      </c>
      <c r="AK537">
        <v>0</v>
      </c>
      <c r="AL537">
        <v>0</v>
      </c>
      <c r="AM537">
        <v>0</v>
      </c>
      <c r="AN537">
        <v>0</v>
      </c>
      <c r="AO537">
        <v>0</v>
      </c>
      <c r="AP537">
        <v>0</v>
      </c>
      <c r="AQ537">
        <v>0</v>
      </c>
      <c r="AR537">
        <v>22</v>
      </c>
      <c r="AS537" t="s">
        <v>2598</v>
      </c>
    </row>
    <row r="538" spans="1:45" x14ac:dyDescent="0.25">
      <c r="A538">
        <v>68</v>
      </c>
      <c r="B538" t="str">
        <f>VLOOKUP(A538,'model groups'!$A$3:$C$86,2,FALSE)</f>
        <v>mobile epifauna</v>
      </c>
      <c r="C538" t="s">
        <v>1667</v>
      </c>
      <c r="D538" t="s">
        <v>1668</v>
      </c>
      <c r="E538" t="s">
        <v>1668</v>
      </c>
      <c r="G538" t="s">
        <v>1480</v>
      </c>
      <c r="H538" t="s">
        <v>1481</v>
      </c>
      <c r="I538" t="s">
        <v>1669</v>
      </c>
      <c r="J538" t="s">
        <v>1670</v>
      </c>
      <c r="T538" t="str">
        <f t="shared" si="19"/>
        <v>no</v>
      </c>
      <c r="U538" s="1"/>
      <c r="V538" s="1"/>
      <c r="W538" s="1"/>
      <c r="X538" s="1"/>
      <c r="Y538" s="1"/>
      <c r="Z538" s="1"/>
      <c r="AA538" s="1"/>
      <c r="AB538" s="1"/>
      <c r="AG538">
        <v>1</v>
      </c>
      <c r="AH538">
        <v>0</v>
      </c>
      <c r="AI538">
        <v>0</v>
      </c>
      <c r="AJ538">
        <v>0</v>
      </c>
      <c r="AK538">
        <v>0</v>
      </c>
      <c r="AL538">
        <v>0</v>
      </c>
      <c r="AM538">
        <v>0</v>
      </c>
      <c r="AN538">
        <v>0</v>
      </c>
      <c r="AO538">
        <v>0</v>
      </c>
      <c r="AP538">
        <v>0</v>
      </c>
      <c r="AQ538">
        <v>0</v>
      </c>
      <c r="AR538">
        <v>21</v>
      </c>
      <c r="AS538" t="s">
        <v>2597</v>
      </c>
    </row>
    <row r="539" spans="1:45" x14ac:dyDescent="0.25">
      <c r="A539">
        <v>68</v>
      </c>
      <c r="B539" t="str">
        <f>VLOOKUP(A539,'model groups'!$A$3:$C$86,2,FALSE)</f>
        <v>mobile epifauna</v>
      </c>
      <c r="C539" t="s">
        <v>1671</v>
      </c>
      <c r="D539" t="s">
        <v>1672</v>
      </c>
      <c r="E539" t="s">
        <v>1672</v>
      </c>
      <c r="G539" t="s">
        <v>1480</v>
      </c>
      <c r="H539" t="s">
        <v>1481</v>
      </c>
      <c r="I539" t="s">
        <v>1673</v>
      </c>
      <c r="J539" t="s">
        <v>1674</v>
      </c>
      <c r="T539" t="str">
        <f t="shared" si="19"/>
        <v>no</v>
      </c>
      <c r="U539" s="1"/>
      <c r="V539" s="1"/>
      <c r="W539" s="1"/>
      <c r="X539" s="1"/>
      <c r="Y539" s="1"/>
      <c r="Z539" s="1"/>
      <c r="AA539" s="1"/>
      <c r="AB539" s="1"/>
      <c r="AG539">
        <v>1</v>
      </c>
      <c r="AH539">
        <v>0</v>
      </c>
      <c r="AI539">
        <v>0</v>
      </c>
      <c r="AJ539">
        <v>0</v>
      </c>
      <c r="AK539">
        <v>0</v>
      </c>
      <c r="AL539">
        <v>0</v>
      </c>
      <c r="AM539">
        <v>0</v>
      </c>
      <c r="AN539">
        <v>0</v>
      </c>
      <c r="AO539">
        <v>0</v>
      </c>
      <c r="AP539">
        <v>0</v>
      </c>
      <c r="AQ539">
        <v>0</v>
      </c>
      <c r="AR539">
        <v>21</v>
      </c>
      <c r="AS539" t="s">
        <v>2597</v>
      </c>
    </row>
    <row r="540" spans="1:45" x14ac:dyDescent="0.25">
      <c r="A540">
        <v>68</v>
      </c>
      <c r="B540" t="str">
        <f>VLOOKUP(A540,'model groups'!$A$3:$C$86,2,FALSE)</f>
        <v>mobile epifauna</v>
      </c>
      <c r="C540" t="s">
        <v>1675</v>
      </c>
      <c r="D540" t="s">
        <v>1676</v>
      </c>
      <c r="E540" t="s">
        <v>1676</v>
      </c>
      <c r="G540" t="s">
        <v>1480</v>
      </c>
      <c r="H540" t="s">
        <v>1481</v>
      </c>
      <c r="I540" t="s">
        <v>1677</v>
      </c>
      <c r="J540" t="s">
        <v>1678</v>
      </c>
      <c r="T540" t="str">
        <f t="shared" si="19"/>
        <v>no</v>
      </c>
      <c r="U540" s="1"/>
      <c r="V540" s="1"/>
      <c r="W540" s="1"/>
      <c r="X540" s="1"/>
      <c r="Y540" s="1"/>
      <c r="Z540" s="1"/>
      <c r="AA540" s="1"/>
      <c r="AB540" s="1"/>
      <c r="AG540">
        <v>1</v>
      </c>
      <c r="AH540">
        <v>0</v>
      </c>
      <c r="AI540">
        <v>0</v>
      </c>
      <c r="AJ540">
        <v>0</v>
      </c>
      <c r="AK540">
        <v>0</v>
      </c>
      <c r="AL540">
        <v>0</v>
      </c>
      <c r="AM540">
        <v>0</v>
      </c>
      <c r="AN540">
        <v>0</v>
      </c>
      <c r="AO540">
        <v>0</v>
      </c>
      <c r="AP540">
        <v>0</v>
      </c>
      <c r="AQ540">
        <v>0</v>
      </c>
      <c r="AR540">
        <v>21</v>
      </c>
      <c r="AS540" t="s">
        <v>2597</v>
      </c>
    </row>
    <row r="541" spans="1:45" x14ac:dyDescent="0.25">
      <c r="A541">
        <v>68</v>
      </c>
      <c r="B541" t="str">
        <f>VLOOKUP(A541,'model groups'!$A$3:$C$86,2,FALSE)</f>
        <v>mobile epifauna</v>
      </c>
      <c r="C541" t="s">
        <v>1679</v>
      </c>
      <c r="D541" t="s">
        <v>1680</v>
      </c>
      <c r="E541" t="s">
        <v>1680</v>
      </c>
      <c r="G541" t="s">
        <v>1480</v>
      </c>
      <c r="H541" t="s">
        <v>1481</v>
      </c>
      <c r="I541" t="s">
        <v>1681</v>
      </c>
      <c r="J541" t="s">
        <v>1682</v>
      </c>
      <c r="T541" t="str">
        <f t="shared" si="19"/>
        <v>no</v>
      </c>
      <c r="U541" s="1"/>
      <c r="V541" s="1"/>
      <c r="W541" s="1"/>
      <c r="X541" s="1"/>
      <c r="Y541" s="1"/>
      <c r="Z541" s="1"/>
      <c r="AA541" s="1"/>
      <c r="AB541" s="1"/>
      <c r="AG541">
        <v>1</v>
      </c>
      <c r="AH541">
        <v>0</v>
      </c>
      <c r="AI541">
        <v>0</v>
      </c>
      <c r="AJ541">
        <v>0</v>
      </c>
      <c r="AK541">
        <v>0</v>
      </c>
      <c r="AL541">
        <v>0</v>
      </c>
      <c r="AM541">
        <v>0</v>
      </c>
      <c r="AN541">
        <v>0</v>
      </c>
      <c r="AO541">
        <v>0</v>
      </c>
      <c r="AP541">
        <v>0</v>
      </c>
      <c r="AQ541">
        <v>0</v>
      </c>
      <c r="AR541">
        <v>21</v>
      </c>
      <c r="AS541" t="s">
        <v>2597</v>
      </c>
    </row>
    <row r="542" spans="1:45" x14ac:dyDescent="0.25">
      <c r="A542">
        <v>68</v>
      </c>
      <c r="B542" t="str">
        <f>VLOOKUP(A542,'model groups'!$A$3:$C$86,2,FALSE)</f>
        <v>mobile epifauna</v>
      </c>
      <c r="C542" t="s">
        <v>1683</v>
      </c>
      <c r="D542" t="s">
        <v>1684</v>
      </c>
      <c r="E542" t="s">
        <v>1685</v>
      </c>
      <c r="G542" t="s">
        <v>1480</v>
      </c>
      <c r="H542" t="s">
        <v>1481</v>
      </c>
      <c r="I542" t="s">
        <v>1681</v>
      </c>
      <c r="J542" t="s">
        <v>1686</v>
      </c>
      <c r="T542" t="str">
        <f t="shared" si="19"/>
        <v>no</v>
      </c>
      <c r="U542" s="1"/>
      <c r="V542" s="1"/>
      <c r="W542" s="1"/>
      <c r="X542" s="1"/>
      <c r="Y542" s="1"/>
      <c r="Z542" s="1"/>
      <c r="AA542" s="1"/>
      <c r="AB542" s="1"/>
      <c r="AG542">
        <v>1</v>
      </c>
      <c r="AH542">
        <v>0</v>
      </c>
      <c r="AI542">
        <v>0</v>
      </c>
      <c r="AJ542">
        <v>0</v>
      </c>
      <c r="AK542">
        <v>0</v>
      </c>
      <c r="AL542">
        <v>0</v>
      </c>
      <c r="AM542">
        <v>0</v>
      </c>
      <c r="AN542">
        <v>0</v>
      </c>
      <c r="AO542">
        <v>0</v>
      </c>
      <c r="AP542">
        <v>0</v>
      </c>
      <c r="AQ542">
        <v>0</v>
      </c>
      <c r="AR542">
        <v>21</v>
      </c>
      <c r="AS542" t="s">
        <v>2597</v>
      </c>
    </row>
    <row r="543" spans="1:45" x14ac:dyDescent="0.25">
      <c r="A543">
        <v>68</v>
      </c>
      <c r="B543" t="str">
        <f>VLOOKUP(A543,'model groups'!$A$3:$C$86,2,FALSE)</f>
        <v>mobile epifauna</v>
      </c>
      <c r="C543" t="s">
        <v>1687</v>
      </c>
      <c r="D543" t="s">
        <v>1688</v>
      </c>
      <c r="E543" t="s">
        <v>1688</v>
      </c>
      <c r="G543" t="s">
        <v>1480</v>
      </c>
      <c r="H543" t="s">
        <v>1481</v>
      </c>
      <c r="I543" t="s">
        <v>1689</v>
      </c>
      <c r="J543" t="s">
        <v>1690</v>
      </c>
      <c r="T543" t="str">
        <f t="shared" si="19"/>
        <v>no</v>
      </c>
      <c r="U543" s="1"/>
      <c r="V543" s="1"/>
      <c r="W543" s="1"/>
      <c r="X543" s="1"/>
      <c r="Y543" s="1"/>
      <c r="Z543" s="1"/>
      <c r="AA543" s="1"/>
      <c r="AB543" s="1"/>
      <c r="AG543">
        <v>1</v>
      </c>
      <c r="AH543">
        <v>0</v>
      </c>
      <c r="AI543">
        <v>0</v>
      </c>
      <c r="AJ543">
        <v>0</v>
      </c>
      <c r="AK543">
        <v>0</v>
      </c>
      <c r="AL543">
        <v>0</v>
      </c>
      <c r="AM543">
        <v>0</v>
      </c>
      <c r="AN543">
        <v>0</v>
      </c>
      <c r="AO543">
        <v>0</v>
      </c>
      <c r="AP543">
        <v>0</v>
      </c>
      <c r="AQ543">
        <v>0</v>
      </c>
      <c r="AR543">
        <v>21</v>
      </c>
      <c r="AS543" t="s">
        <v>2597</v>
      </c>
    </row>
    <row r="544" spans="1:45" x14ac:dyDescent="0.25">
      <c r="A544">
        <v>68</v>
      </c>
      <c r="B544" t="str">
        <f>VLOOKUP(A544,'model groups'!$A$3:$C$86,2,FALSE)</f>
        <v>mobile epifauna</v>
      </c>
      <c r="C544" t="s">
        <v>1691</v>
      </c>
      <c r="D544" t="s">
        <v>1692</v>
      </c>
      <c r="E544" t="s">
        <v>1692</v>
      </c>
      <c r="G544" t="s">
        <v>1480</v>
      </c>
      <c r="H544" t="s">
        <v>1481</v>
      </c>
      <c r="I544" t="s">
        <v>1689</v>
      </c>
      <c r="J544" t="s">
        <v>1690</v>
      </c>
      <c r="T544" t="str">
        <f t="shared" si="19"/>
        <v>no</v>
      </c>
      <c r="U544" s="1"/>
      <c r="V544" s="1"/>
      <c r="W544" s="1"/>
      <c r="X544" s="1"/>
      <c r="Y544" s="1"/>
      <c r="Z544" s="1"/>
      <c r="AA544" s="1"/>
      <c r="AB544" s="1"/>
      <c r="AG544">
        <v>1</v>
      </c>
      <c r="AH544">
        <v>0</v>
      </c>
      <c r="AI544">
        <v>0</v>
      </c>
      <c r="AJ544">
        <v>0</v>
      </c>
      <c r="AK544">
        <v>0</v>
      </c>
      <c r="AL544">
        <v>0</v>
      </c>
      <c r="AM544">
        <v>0</v>
      </c>
      <c r="AN544">
        <v>0</v>
      </c>
      <c r="AO544">
        <v>0</v>
      </c>
      <c r="AP544">
        <v>0</v>
      </c>
      <c r="AQ544">
        <v>0</v>
      </c>
      <c r="AR544">
        <v>21</v>
      </c>
      <c r="AS544" t="s">
        <v>2597</v>
      </c>
    </row>
    <row r="545" spans="1:45" x14ac:dyDescent="0.25">
      <c r="A545">
        <v>68</v>
      </c>
      <c r="B545" t="str">
        <f>VLOOKUP(A545,'model groups'!$A$3:$C$86,2,FALSE)</f>
        <v>mobile epifauna</v>
      </c>
      <c r="C545" t="s">
        <v>1693</v>
      </c>
      <c r="D545" t="s">
        <v>1694</v>
      </c>
      <c r="E545" t="s">
        <v>1694</v>
      </c>
      <c r="G545" t="s">
        <v>1480</v>
      </c>
      <c r="H545" t="s">
        <v>1695</v>
      </c>
      <c r="I545" t="s">
        <v>1696</v>
      </c>
      <c r="J545" t="s">
        <v>1697</v>
      </c>
      <c r="AR545">
        <v>21</v>
      </c>
      <c r="AS545" t="s">
        <v>2597</v>
      </c>
    </row>
    <row r="546" spans="1:45" x14ac:dyDescent="0.25">
      <c r="A546">
        <v>68</v>
      </c>
      <c r="B546" t="str">
        <f>VLOOKUP(A546,'model groups'!$A$3:$C$86,2,FALSE)</f>
        <v>mobile epifauna</v>
      </c>
      <c r="C546" t="s">
        <v>1698</v>
      </c>
      <c r="D546" t="s">
        <v>1699</v>
      </c>
      <c r="E546" t="s">
        <v>1699</v>
      </c>
      <c r="G546" t="s">
        <v>1480</v>
      </c>
      <c r="H546" t="s">
        <v>1695</v>
      </c>
      <c r="I546" t="s">
        <v>1696</v>
      </c>
      <c r="J546" t="s">
        <v>1700</v>
      </c>
      <c r="AR546">
        <v>21</v>
      </c>
      <c r="AS546" t="s">
        <v>2597</v>
      </c>
    </row>
    <row r="547" spans="1:45" x14ac:dyDescent="0.25">
      <c r="A547">
        <v>68</v>
      </c>
      <c r="B547" t="str">
        <f>VLOOKUP(A547,'model groups'!$A$3:$C$86,2,FALSE)</f>
        <v>mobile epifauna</v>
      </c>
      <c r="C547" t="s">
        <v>1701</v>
      </c>
      <c r="D547" t="s">
        <v>1702</v>
      </c>
      <c r="E547" t="s">
        <v>1702</v>
      </c>
      <c r="G547" t="s">
        <v>1480</v>
      </c>
      <c r="H547" t="s">
        <v>1481</v>
      </c>
      <c r="I547" t="s">
        <v>1703</v>
      </c>
      <c r="J547" t="s">
        <v>1704</v>
      </c>
      <c r="AR547">
        <v>21</v>
      </c>
      <c r="AS547" t="s">
        <v>2597</v>
      </c>
    </row>
    <row r="548" spans="1:45" x14ac:dyDescent="0.25">
      <c r="A548">
        <v>68</v>
      </c>
      <c r="B548" t="str">
        <f>VLOOKUP(A548,'model groups'!$A$3:$C$86,2,FALSE)</f>
        <v>mobile epifauna</v>
      </c>
      <c r="C548" t="s">
        <v>1705</v>
      </c>
      <c r="D548" t="s">
        <v>1706</v>
      </c>
      <c r="E548" t="s">
        <v>1707</v>
      </c>
      <c r="G548" t="s">
        <v>1480</v>
      </c>
      <c r="H548" t="s">
        <v>1481</v>
      </c>
      <c r="I548" t="s">
        <v>1708</v>
      </c>
      <c r="J548" t="s">
        <v>1709</v>
      </c>
      <c r="T548" t="str">
        <f>IF(OR(AK548=1,AN548=1),"reef","no")</f>
        <v>no</v>
      </c>
      <c r="U548" s="1"/>
      <c r="V548" s="1"/>
      <c r="W548" s="1"/>
      <c r="X548" s="1"/>
      <c r="Y548" s="1"/>
      <c r="Z548" s="1"/>
      <c r="AA548" s="1"/>
      <c r="AB548" s="1"/>
      <c r="AG548">
        <v>1</v>
      </c>
      <c r="AH548">
        <v>0</v>
      </c>
      <c r="AI548">
        <v>0</v>
      </c>
      <c r="AJ548">
        <v>0</v>
      </c>
      <c r="AK548">
        <v>0</v>
      </c>
      <c r="AL548">
        <v>0</v>
      </c>
      <c r="AM548">
        <v>0</v>
      </c>
      <c r="AN548">
        <v>0</v>
      </c>
      <c r="AO548">
        <v>0</v>
      </c>
      <c r="AP548">
        <v>0</v>
      </c>
      <c r="AQ548">
        <v>0</v>
      </c>
      <c r="AR548">
        <v>21</v>
      </c>
      <c r="AS548" t="s">
        <v>2597</v>
      </c>
    </row>
    <row r="549" spans="1:45" x14ac:dyDescent="0.25">
      <c r="A549">
        <v>68</v>
      </c>
      <c r="B549" t="str">
        <f>VLOOKUP(A549,'model groups'!$A$3:$C$86,2,FALSE)</f>
        <v>mobile epifauna</v>
      </c>
      <c r="C549" t="s">
        <v>1710</v>
      </c>
      <c r="D549" t="s">
        <v>1711</v>
      </c>
      <c r="E549" t="s">
        <v>1711</v>
      </c>
      <c r="G549" t="s">
        <v>1480</v>
      </c>
      <c r="H549" t="s">
        <v>1481</v>
      </c>
      <c r="I549" t="s">
        <v>1712</v>
      </c>
      <c r="J549" t="s">
        <v>1713</v>
      </c>
      <c r="T549" t="str">
        <f>IF(OR(AK549=1,AN549=1),"reef","no")</f>
        <v>no</v>
      </c>
      <c r="U549" s="1"/>
      <c r="V549" s="1"/>
      <c r="W549" s="1"/>
      <c r="X549" s="1"/>
      <c r="Y549" s="1"/>
      <c r="Z549" s="1"/>
      <c r="AA549" s="1"/>
      <c r="AB549" s="1"/>
      <c r="AG549">
        <v>1</v>
      </c>
      <c r="AH549">
        <v>0</v>
      </c>
      <c r="AI549">
        <v>0</v>
      </c>
      <c r="AJ549">
        <v>0</v>
      </c>
      <c r="AK549">
        <v>0</v>
      </c>
      <c r="AL549">
        <v>0</v>
      </c>
      <c r="AM549">
        <v>0</v>
      </c>
      <c r="AN549">
        <v>0</v>
      </c>
      <c r="AO549">
        <v>0</v>
      </c>
      <c r="AP549">
        <v>0</v>
      </c>
      <c r="AQ549">
        <v>0</v>
      </c>
      <c r="AR549">
        <v>21</v>
      </c>
      <c r="AS549" t="s">
        <v>2597</v>
      </c>
    </row>
    <row r="550" spans="1:45" x14ac:dyDescent="0.25">
      <c r="A550">
        <v>68</v>
      </c>
      <c r="B550" t="str">
        <f>VLOOKUP(A550,'model groups'!$A$3:$C$86,2,FALSE)</f>
        <v>mobile epifauna</v>
      </c>
      <c r="C550" t="s">
        <v>1714</v>
      </c>
      <c r="D550" t="s">
        <v>1715</v>
      </c>
      <c r="E550" t="s">
        <v>1715</v>
      </c>
      <c r="G550" t="s">
        <v>1480</v>
      </c>
      <c r="H550" t="s">
        <v>1481</v>
      </c>
      <c r="I550" t="s">
        <v>1503</v>
      </c>
      <c r="J550" t="s">
        <v>1716</v>
      </c>
      <c r="T550" t="str">
        <f>IF(OR(AK550=1,AN550=1),"reef","no")</f>
        <v>no</v>
      </c>
      <c r="U550" s="1"/>
      <c r="V550" s="1"/>
      <c r="W550" s="1"/>
      <c r="X550" s="1"/>
      <c r="Y550" s="1"/>
      <c r="Z550" s="1"/>
      <c r="AA550" s="1"/>
      <c r="AB550" s="1"/>
      <c r="AG550">
        <v>1</v>
      </c>
      <c r="AH550">
        <v>0</v>
      </c>
      <c r="AI550">
        <v>0</v>
      </c>
      <c r="AJ550">
        <v>0</v>
      </c>
      <c r="AK550">
        <v>0</v>
      </c>
      <c r="AL550">
        <v>0</v>
      </c>
      <c r="AM550">
        <v>0</v>
      </c>
      <c r="AN550">
        <v>0</v>
      </c>
      <c r="AO550">
        <v>0</v>
      </c>
      <c r="AP550">
        <v>0</v>
      </c>
      <c r="AQ550">
        <v>0</v>
      </c>
      <c r="AR550">
        <v>21</v>
      </c>
      <c r="AS550" t="s">
        <v>2597</v>
      </c>
    </row>
    <row r="551" spans="1:45" x14ac:dyDescent="0.25">
      <c r="A551">
        <v>75</v>
      </c>
      <c r="B551" t="str">
        <f>VLOOKUP(A551,'model groups'!$A$3:$C$86,2,FALSE)</f>
        <v>microzooplankton SZ</v>
      </c>
      <c r="C551" t="s">
        <v>71</v>
      </c>
      <c r="D551" t="s">
        <v>1717</v>
      </c>
      <c r="E551" t="s">
        <v>1718</v>
      </c>
      <c r="G551" t="s">
        <v>1719</v>
      </c>
      <c r="H551" t="s">
        <v>71</v>
      </c>
      <c r="I551" t="s">
        <v>71</v>
      </c>
      <c r="J551" t="s">
        <v>71</v>
      </c>
      <c r="K551" t="s">
        <v>1720</v>
      </c>
      <c r="L551" t="s">
        <v>71</v>
      </c>
      <c r="M551" t="s">
        <v>71</v>
      </c>
      <c r="N551" t="s">
        <v>71</v>
      </c>
      <c r="O551" t="s">
        <v>71</v>
      </c>
      <c r="P551" t="s">
        <v>71</v>
      </c>
      <c r="Q551" t="s">
        <v>71</v>
      </c>
      <c r="R551" t="s">
        <v>71</v>
      </c>
      <c r="S551" t="s">
        <v>71</v>
      </c>
      <c r="U551" t="s">
        <v>71</v>
      </c>
      <c r="V551" t="s">
        <v>71</v>
      </c>
      <c r="W551" t="s">
        <v>71</v>
      </c>
      <c r="X551" t="s">
        <v>71</v>
      </c>
      <c r="Y551" t="s">
        <v>71</v>
      </c>
      <c r="Z551" t="s">
        <v>71</v>
      </c>
      <c r="AA551" t="s">
        <v>71</v>
      </c>
      <c r="AB551" t="s">
        <v>71</v>
      </c>
      <c r="AC551" t="s">
        <v>71</v>
      </c>
      <c r="AD551" t="s">
        <v>71</v>
      </c>
      <c r="AE551" t="s">
        <v>71</v>
      </c>
      <c r="AF551" t="s">
        <v>71</v>
      </c>
      <c r="AG551">
        <v>0</v>
      </c>
      <c r="AH551">
        <v>0</v>
      </c>
      <c r="AI551">
        <v>0</v>
      </c>
      <c r="AJ551">
        <v>0</v>
      </c>
      <c r="AK551">
        <v>0</v>
      </c>
      <c r="AL551">
        <v>0</v>
      </c>
      <c r="AM551">
        <v>0</v>
      </c>
      <c r="AN551">
        <v>0</v>
      </c>
      <c r="AO551">
        <v>0</v>
      </c>
      <c r="AP551">
        <v>0</v>
      </c>
      <c r="AQ551">
        <v>1</v>
      </c>
      <c r="AR551">
        <v>23</v>
      </c>
      <c r="AS551" t="s">
        <v>27</v>
      </c>
    </row>
    <row r="552" spans="1:45" x14ac:dyDescent="0.25">
      <c r="A552">
        <v>75</v>
      </c>
      <c r="B552" t="str">
        <f>VLOOKUP(A552,'model groups'!$A$3:$C$86,2,FALSE)</f>
        <v>microzooplankton SZ</v>
      </c>
      <c r="C552" t="s">
        <v>1721</v>
      </c>
      <c r="D552" t="s">
        <v>1722</v>
      </c>
      <c r="E552" t="s">
        <v>1722</v>
      </c>
      <c r="G552" t="s">
        <v>1719</v>
      </c>
      <c r="H552" t="s">
        <v>1723</v>
      </c>
      <c r="I552" t="s">
        <v>1724</v>
      </c>
      <c r="J552" t="s">
        <v>1725</v>
      </c>
      <c r="T552" t="str">
        <f>IF(OR(AK552=1,AN552=1),"reef","no")</f>
        <v>no</v>
      </c>
      <c r="U552" s="1"/>
      <c r="V552" s="1"/>
      <c r="W552" s="1"/>
      <c r="X552" s="1"/>
      <c r="Y552" s="1"/>
      <c r="Z552" s="1"/>
      <c r="AA552" s="1"/>
      <c r="AB552" s="1"/>
      <c r="AG552">
        <v>1</v>
      </c>
      <c r="AH552">
        <v>0</v>
      </c>
      <c r="AI552">
        <v>0</v>
      </c>
      <c r="AJ552">
        <v>0</v>
      </c>
      <c r="AK552">
        <v>0</v>
      </c>
      <c r="AL552">
        <v>0</v>
      </c>
      <c r="AM552">
        <v>0</v>
      </c>
      <c r="AN552">
        <v>0</v>
      </c>
      <c r="AO552">
        <v>0</v>
      </c>
      <c r="AP552">
        <v>0</v>
      </c>
      <c r="AQ552">
        <v>0</v>
      </c>
      <c r="AR552">
        <v>23</v>
      </c>
      <c r="AS552" t="s">
        <v>27</v>
      </c>
    </row>
    <row r="553" spans="1:45" x14ac:dyDescent="0.25">
      <c r="A553">
        <v>77</v>
      </c>
      <c r="B553" t="str">
        <f>VLOOKUP(A553,'model groups'!$A$3:$C$86,2,FALSE)</f>
        <v>anthozoans</v>
      </c>
      <c r="C553" t="s">
        <v>71</v>
      </c>
      <c r="D553" t="s">
        <v>1726</v>
      </c>
      <c r="E553" t="s">
        <v>1726</v>
      </c>
      <c r="G553" t="s">
        <v>1727</v>
      </c>
      <c r="H553" t="s">
        <v>71</v>
      </c>
      <c r="I553" t="s">
        <v>71</v>
      </c>
      <c r="J553" t="s">
        <v>71</v>
      </c>
      <c r="K553" t="s">
        <v>1728</v>
      </c>
      <c r="L553" t="s">
        <v>71</v>
      </c>
      <c r="M553" t="s">
        <v>71</v>
      </c>
      <c r="N553" t="s">
        <v>71</v>
      </c>
      <c r="O553" t="s">
        <v>71</v>
      </c>
      <c r="P553" t="s">
        <v>71</v>
      </c>
      <c r="Q553" t="s">
        <v>71</v>
      </c>
      <c r="R553" t="s">
        <v>71</v>
      </c>
      <c r="S553" t="s">
        <v>71</v>
      </c>
      <c r="U553" t="s">
        <v>71</v>
      </c>
      <c r="V553" t="s">
        <v>71</v>
      </c>
      <c r="W553" t="s">
        <v>71</v>
      </c>
      <c r="X553" t="s">
        <v>71</v>
      </c>
      <c r="Y553" t="s">
        <v>71</v>
      </c>
      <c r="Z553" t="s">
        <v>71</v>
      </c>
      <c r="AA553" t="s">
        <v>71</v>
      </c>
      <c r="AB553" t="s">
        <v>71</v>
      </c>
      <c r="AC553" t="s">
        <v>71</v>
      </c>
      <c r="AD553" t="s">
        <v>71</v>
      </c>
      <c r="AE553" t="s">
        <v>71</v>
      </c>
      <c r="AF553" t="s">
        <v>71</v>
      </c>
      <c r="AG553">
        <v>0</v>
      </c>
      <c r="AH553">
        <v>0</v>
      </c>
      <c r="AI553">
        <v>0</v>
      </c>
      <c r="AJ553">
        <v>0</v>
      </c>
      <c r="AK553">
        <v>0</v>
      </c>
      <c r="AL553">
        <v>0</v>
      </c>
      <c r="AM553">
        <v>0</v>
      </c>
      <c r="AN553">
        <v>0</v>
      </c>
      <c r="AO553">
        <v>0</v>
      </c>
      <c r="AP553">
        <v>0</v>
      </c>
      <c r="AQ553">
        <v>1</v>
      </c>
      <c r="AR553">
        <v>0</v>
      </c>
      <c r="AS553" t="s">
        <v>2600</v>
      </c>
    </row>
    <row r="554" spans="1:45" x14ac:dyDescent="0.25">
      <c r="A554">
        <v>99</v>
      </c>
      <c r="B554" t="str">
        <f>VLOOKUP(A554,'model groups'!$A$3:$C$86,2,FALSE)</f>
        <v>not included</v>
      </c>
      <c r="C554" t="s">
        <v>71</v>
      </c>
      <c r="D554" t="s">
        <v>1729</v>
      </c>
      <c r="E554" t="s">
        <v>1729</v>
      </c>
      <c r="G554" t="s">
        <v>71</v>
      </c>
      <c r="H554" t="s">
        <v>71</v>
      </c>
      <c r="I554" t="s">
        <v>71</v>
      </c>
      <c r="J554" t="s">
        <v>71</v>
      </c>
      <c r="K554" t="s">
        <v>1730</v>
      </c>
      <c r="L554" t="s">
        <v>71</v>
      </c>
      <c r="M554" t="s">
        <v>71</v>
      </c>
      <c r="N554" t="s">
        <v>71</v>
      </c>
      <c r="O554" t="s">
        <v>71</v>
      </c>
      <c r="P554" t="s">
        <v>71</v>
      </c>
      <c r="Q554" t="s">
        <v>71</v>
      </c>
      <c r="R554" t="s">
        <v>71</v>
      </c>
      <c r="S554" t="s">
        <v>71</v>
      </c>
      <c r="U554" t="s">
        <v>71</v>
      </c>
      <c r="V554" t="s">
        <v>71</v>
      </c>
      <c r="W554" t="s">
        <v>71</v>
      </c>
      <c r="X554" t="s">
        <v>71</v>
      </c>
      <c r="Y554" t="s">
        <v>71</v>
      </c>
      <c r="Z554" t="s">
        <v>71</v>
      </c>
      <c r="AA554" t="s">
        <v>71</v>
      </c>
      <c r="AB554" t="s">
        <v>71</v>
      </c>
      <c r="AC554" t="s">
        <v>71</v>
      </c>
      <c r="AD554" t="s">
        <v>71</v>
      </c>
      <c r="AE554" t="s">
        <v>71</v>
      </c>
      <c r="AF554" t="s">
        <v>71</v>
      </c>
      <c r="AG554">
        <v>0</v>
      </c>
      <c r="AH554">
        <v>0</v>
      </c>
      <c r="AI554">
        <v>0</v>
      </c>
      <c r="AJ554">
        <v>0</v>
      </c>
      <c r="AK554">
        <v>0</v>
      </c>
      <c r="AL554">
        <v>0</v>
      </c>
      <c r="AM554">
        <v>0</v>
      </c>
      <c r="AN554">
        <v>0</v>
      </c>
      <c r="AO554">
        <v>0</v>
      </c>
      <c r="AP554">
        <v>0</v>
      </c>
      <c r="AQ554">
        <v>1</v>
      </c>
      <c r="AR554">
        <v>0</v>
      </c>
      <c r="AS554" t="s">
        <v>2600</v>
      </c>
    </row>
    <row r="555" spans="1:45" x14ac:dyDescent="0.25">
      <c r="A555">
        <v>99</v>
      </c>
      <c r="B555" t="str">
        <f>VLOOKUP(A555,'model groups'!$A$3:$C$86,2,FALSE)</f>
        <v>not included</v>
      </c>
      <c r="C555" t="s">
        <v>71</v>
      </c>
      <c r="D555" t="s">
        <v>1731</v>
      </c>
      <c r="E555" t="s">
        <v>1731</v>
      </c>
      <c r="G555" t="s">
        <v>71</v>
      </c>
      <c r="H555" t="s">
        <v>71</v>
      </c>
      <c r="I555" t="s">
        <v>71</v>
      </c>
      <c r="J555" t="s">
        <v>71</v>
      </c>
      <c r="K555" t="s">
        <v>1732</v>
      </c>
      <c r="L555" t="s">
        <v>71</v>
      </c>
      <c r="M555" t="s">
        <v>71</v>
      </c>
      <c r="N555" t="s">
        <v>71</v>
      </c>
      <c r="O555" t="s">
        <v>71</v>
      </c>
      <c r="P555" t="s">
        <v>71</v>
      </c>
      <c r="Q555" t="s">
        <v>71</v>
      </c>
      <c r="R555" t="s">
        <v>71</v>
      </c>
      <c r="S555" t="s">
        <v>71</v>
      </c>
      <c r="U555" t="s">
        <v>71</v>
      </c>
      <c r="V555" t="s">
        <v>71</v>
      </c>
      <c r="W555" t="s">
        <v>71</v>
      </c>
      <c r="X555" t="s">
        <v>71</v>
      </c>
      <c r="Y555" t="s">
        <v>71</v>
      </c>
      <c r="Z555" t="s">
        <v>71</v>
      </c>
      <c r="AA555" t="s">
        <v>71</v>
      </c>
      <c r="AB555" t="s">
        <v>71</v>
      </c>
      <c r="AC555" t="s">
        <v>71</v>
      </c>
      <c r="AD555" t="s">
        <v>71</v>
      </c>
      <c r="AE555" t="s">
        <v>71</v>
      </c>
      <c r="AF555" t="s">
        <v>71</v>
      </c>
      <c r="AG555">
        <v>0</v>
      </c>
      <c r="AH555">
        <v>0</v>
      </c>
      <c r="AI555">
        <v>0</v>
      </c>
      <c r="AJ555">
        <v>0</v>
      </c>
      <c r="AK555">
        <v>0</v>
      </c>
      <c r="AL555">
        <v>0</v>
      </c>
      <c r="AM555">
        <v>0</v>
      </c>
      <c r="AN555">
        <v>0</v>
      </c>
      <c r="AO555">
        <v>0</v>
      </c>
      <c r="AP555">
        <v>0</v>
      </c>
      <c r="AQ555">
        <v>1</v>
      </c>
      <c r="AR555">
        <v>0</v>
      </c>
      <c r="AS555" t="s">
        <v>2600</v>
      </c>
    </row>
    <row r="556" spans="1:45" x14ac:dyDescent="0.25">
      <c r="A556">
        <v>99</v>
      </c>
      <c r="B556" t="str">
        <f>VLOOKUP(A556,'model groups'!$A$3:$C$86,2,FALSE)</f>
        <v>not included</v>
      </c>
      <c r="C556" t="s">
        <v>1733</v>
      </c>
      <c r="D556" t="s">
        <v>1734</v>
      </c>
      <c r="E556" t="s">
        <v>1734</v>
      </c>
      <c r="G556" t="s">
        <v>241</v>
      </c>
      <c r="H556" t="s">
        <v>470</v>
      </c>
      <c r="I556" t="s">
        <v>1183</v>
      </c>
      <c r="J556" t="s">
        <v>1735</v>
      </c>
      <c r="AR556">
        <v>0</v>
      </c>
      <c r="AS556" t="s">
        <v>2600</v>
      </c>
    </row>
    <row r="557" spans="1:45" x14ac:dyDescent="0.25">
      <c r="A557">
        <v>99</v>
      </c>
      <c r="B557" t="str">
        <f>VLOOKUP(A557,'model groups'!$A$3:$C$86,2,FALSE)</f>
        <v>not included</v>
      </c>
      <c r="C557" t="s">
        <v>1736</v>
      </c>
      <c r="D557" t="s">
        <v>1737</v>
      </c>
      <c r="E557" t="s">
        <v>1737</v>
      </c>
      <c r="G557" t="s">
        <v>241</v>
      </c>
      <c r="H557" t="s">
        <v>1738</v>
      </c>
      <c r="I557" t="s">
        <v>1739</v>
      </c>
      <c r="J557" t="s">
        <v>1740</v>
      </c>
      <c r="AR557">
        <v>0</v>
      </c>
      <c r="AS557" t="s">
        <v>2600</v>
      </c>
    </row>
    <row r="558" spans="1:45" x14ac:dyDescent="0.25">
      <c r="A558">
        <v>99</v>
      </c>
      <c r="B558" t="str">
        <f>VLOOKUP(A558,'model groups'!$A$3:$C$86,2,FALSE)</f>
        <v>not included</v>
      </c>
      <c r="C558" t="s">
        <v>1741</v>
      </c>
      <c r="D558" t="s">
        <v>1742</v>
      </c>
      <c r="E558" t="s">
        <v>1742</v>
      </c>
      <c r="G558" t="s">
        <v>45</v>
      </c>
      <c r="H558" t="s">
        <v>1743</v>
      </c>
      <c r="I558" t="s">
        <v>1744</v>
      </c>
      <c r="J558" t="s">
        <v>1745</v>
      </c>
      <c r="AR558">
        <v>0</v>
      </c>
      <c r="AS558" t="s">
        <v>2600</v>
      </c>
    </row>
    <row r="559" spans="1:45" x14ac:dyDescent="0.25">
      <c r="A559">
        <v>99</v>
      </c>
      <c r="B559" t="str">
        <f>VLOOKUP(A559,'model groups'!$A$3:$C$86,2,FALSE)</f>
        <v>not included</v>
      </c>
      <c r="C559" t="s">
        <v>1746</v>
      </c>
      <c r="D559" t="s">
        <v>1747</v>
      </c>
      <c r="E559" t="s">
        <v>1747</v>
      </c>
      <c r="G559" t="s">
        <v>1480</v>
      </c>
      <c r="H559" t="s">
        <v>1481</v>
      </c>
      <c r="I559" t="s">
        <v>1748</v>
      </c>
      <c r="J559" t="s">
        <v>1749</v>
      </c>
      <c r="AR559">
        <v>0</v>
      </c>
      <c r="AS559" t="s">
        <v>2600</v>
      </c>
    </row>
    <row r="560" spans="1:45" x14ac:dyDescent="0.25">
      <c r="A560">
        <v>99</v>
      </c>
      <c r="B560" t="str">
        <f>VLOOKUP(A560,'model groups'!$A$3:$C$86,2,FALSE)</f>
        <v>not included</v>
      </c>
      <c r="D560" t="s">
        <v>1751</v>
      </c>
      <c r="E560" t="s">
        <v>1751</v>
      </c>
      <c r="G560" t="s">
        <v>241</v>
      </c>
      <c r="H560" t="s">
        <v>1752</v>
      </c>
      <c r="I560" t="s">
        <v>1753</v>
      </c>
      <c r="J560" t="s">
        <v>1754</v>
      </c>
      <c r="K560" t="s">
        <v>1755</v>
      </c>
      <c r="AR560">
        <v>0</v>
      </c>
      <c r="AS560" t="s">
        <v>2600</v>
      </c>
    </row>
    <row r="561" spans="1:45" x14ac:dyDescent="0.25">
      <c r="A561">
        <v>99</v>
      </c>
      <c r="B561" t="str">
        <f>VLOOKUP(A561,'model groups'!$A$3:$C$86,2,FALSE)</f>
        <v>not included</v>
      </c>
      <c r="C561" t="s">
        <v>1756</v>
      </c>
      <c r="D561" t="s">
        <v>1757</v>
      </c>
      <c r="E561" t="s">
        <v>1757</v>
      </c>
      <c r="G561" t="s">
        <v>1758</v>
      </c>
      <c r="H561" t="s">
        <v>1759</v>
      </c>
      <c r="I561" t="s">
        <v>1760</v>
      </c>
      <c r="J561" t="s">
        <v>1761</v>
      </c>
      <c r="AR561">
        <v>0</v>
      </c>
      <c r="AS561" t="s">
        <v>2600</v>
      </c>
    </row>
    <row r="562" spans="1:45" x14ac:dyDescent="0.25">
      <c r="A562">
        <v>99</v>
      </c>
      <c r="B562" t="str">
        <f>VLOOKUP(A562,'model groups'!$A$3:$C$86,2,FALSE)</f>
        <v>not included</v>
      </c>
      <c r="C562" t="s">
        <v>1762</v>
      </c>
      <c r="D562" t="s">
        <v>1763</v>
      </c>
      <c r="E562" t="s">
        <v>1763</v>
      </c>
      <c r="G562" t="s">
        <v>1758</v>
      </c>
      <c r="H562" t="s">
        <v>1759</v>
      </c>
      <c r="I562" t="s">
        <v>1760</v>
      </c>
      <c r="J562" t="s">
        <v>1761</v>
      </c>
      <c r="AR562">
        <v>0</v>
      </c>
      <c r="AS562" t="s">
        <v>2600</v>
      </c>
    </row>
    <row r="563" spans="1:45" x14ac:dyDescent="0.25">
      <c r="A563">
        <v>99</v>
      </c>
      <c r="B563" t="str">
        <f>VLOOKUP(A563,'model groups'!$A$3:$C$86,2,FALSE)</f>
        <v>not included</v>
      </c>
      <c r="C563" t="s">
        <v>1764</v>
      </c>
      <c r="D563" t="s">
        <v>1765</v>
      </c>
      <c r="E563" t="s">
        <v>1765</v>
      </c>
      <c r="G563" t="s">
        <v>1758</v>
      </c>
      <c r="H563" t="s">
        <v>1759</v>
      </c>
      <c r="I563" t="s">
        <v>1760</v>
      </c>
      <c r="J563" t="s">
        <v>1766</v>
      </c>
      <c r="AR563">
        <v>0</v>
      </c>
      <c r="AS563" t="s">
        <v>2600</v>
      </c>
    </row>
    <row r="564" spans="1:45" x14ac:dyDescent="0.25">
      <c r="A564">
        <v>99</v>
      </c>
      <c r="B564" t="str">
        <f>VLOOKUP(A564,'model groups'!$A$3:$C$86,2,FALSE)</f>
        <v>not included</v>
      </c>
      <c r="C564" t="s">
        <v>1767</v>
      </c>
      <c r="D564" t="s">
        <v>1768</v>
      </c>
      <c r="E564" t="s">
        <v>1768</v>
      </c>
      <c r="G564" t="s">
        <v>1758</v>
      </c>
      <c r="H564" t="s">
        <v>1759</v>
      </c>
      <c r="I564" t="s">
        <v>1760</v>
      </c>
      <c r="J564" t="s">
        <v>1769</v>
      </c>
      <c r="AR564">
        <v>0</v>
      </c>
      <c r="AS564" t="s">
        <v>2600</v>
      </c>
    </row>
    <row r="565" spans="1:45" x14ac:dyDescent="0.25">
      <c r="A565">
        <v>99</v>
      </c>
      <c r="B565" t="str">
        <f>VLOOKUP(A565,'model groups'!$A$3:$C$86,2,FALSE)</f>
        <v>not included</v>
      </c>
      <c r="C565" t="s">
        <v>379</v>
      </c>
      <c r="D565" t="s">
        <v>1770</v>
      </c>
      <c r="E565" t="s">
        <v>1770</v>
      </c>
      <c r="G565" t="s">
        <v>1758</v>
      </c>
      <c r="H565" t="s">
        <v>1759</v>
      </c>
      <c r="I565" t="s">
        <v>1760</v>
      </c>
      <c r="J565" t="s">
        <v>379</v>
      </c>
      <c r="AR565">
        <v>0</v>
      </c>
      <c r="AS565" t="s">
        <v>2600</v>
      </c>
    </row>
    <row r="566" spans="1:45" x14ac:dyDescent="0.25">
      <c r="A566">
        <v>99</v>
      </c>
      <c r="B566" t="str">
        <f>VLOOKUP(A566,'model groups'!$A$3:$C$86,2,FALSE)</f>
        <v>not included</v>
      </c>
      <c r="C566" t="s">
        <v>1771</v>
      </c>
      <c r="D566" t="s">
        <v>1772</v>
      </c>
      <c r="E566" t="s">
        <v>1772</v>
      </c>
      <c r="G566" t="s">
        <v>241</v>
      </c>
      <c r="H566" t="s">
        <v>1027</v>
      </c>
      <c r="I566" t="s">
        <v>1773</v>
      </c>
      <c r="J566" t="s">
        <v>1774</v>
      </c>
      <c r="AR566">
        <v>0</v>
      </c>
      <c r="AS566" t="s">
        <v>2600</v>
      </c>
    </row>
    <row r="567" spans="1:45" x14ac:dyDescent="0.25">
      <c r="A567">
        <v>99</v>
      </c>
      <c r="B567" t="str">
        <f>VLOOKUP(A567,'model groups'!$A$3:$C$86,2,FALSE)</f>
        <v>not included</v>
      </c>
      <c r="C567" t="s">
        <v>1775</v>
      </c>
      <c r="D567" t="s">
        <v>1776</v>
      </c>
      <c r="E567" t="s">
        <v>1776</v>
      </c>
      <c r="G567" t="s">
        <v>241</v>
      </c>
      <c r="H567" t="s">
        <v>1027</v>
      </c>
      <c r="I567" t="s">
        <v>1773</v>
      </c>
      <c r="J567" t="s">
        <v>1777</v>
      </c>
      <c r="AR567">
        <v>0</v>
      </c>
      <c r="AS567" t="s">
        <v>2600</v>
      </c>
    </row>
    <row r="568" spans="1:45" x14ac:dyDescent="0.25">
      <c r="A568">
        <v>99</v>
      </c>
      <c r="B568" t="str">
        <f>VLOOKUP(A568,'model groups'!$A$3:$C$86,2,FALSE)</f>
        <v>not included</v>
      </c>
      <c r="C568" t="s">
        <v>1778</v>
      </c>
      <c r="D568" t="s">
        <v>1779</v>
      </c>
      <c r="E568" t="s">
        <v>1779</v>
      </c>
      <c r="G568" t="s">
        <v>241</v>
      </c>
      <c r="H568" t="s">
        <v>1027</v>
      </c>
      <c r="I568" t="s">
        <v>1773</v>
      </c>
      <c r="J568" t="s">
        <v>1777</v>
      </c>
      <c r="AR568">
        <v>0</v>
      </c>
      <c r="AS568" t="s">
        <v>2600</v>
      </c>
    </row>
    <row r="569" spans="1:45" x14ac:dyDescent="0.25">
      <c r="A569">
        <v>99</v>
      </c>
      <c r="B569" t="str">
        <f>VLOOKUP(A569,'model groups'!$A$3:$C$86,2,FALSE)</f>
        <v>not included</v>
      </c>
      <c r="C569" t="s">
        <v>877</v>
      </c>
      <c r="D569" t="s">
        <v>1780</v>
      </c>
      <c r="E569" t="s">
        <v>1780</v>
      </c>
      <c r="G569" t="s">
        <v>241</v>
      </c>
      <c r="H569" t="s">
        <v>196</v>
      </c>
      <c r="I569" t="s">
        <v>1781</v>
      </c>
      <c r="J569" t="s">
        <v>879</v>
      </c>
      <c r="AR569">
        <v>0</v>
      </c>
      <c r="AS569" t="s">
        <v>2600</v>
      </c>
    </row>
    <row r="570" spans="1:45" x14ac:dyDescent="0.25">
      <c r="A570">
        <v>99</v>
      </c>
      <c r="B570" t="str">
        <f>VLOOKUP(A570,'model groups'!$A$3:$C$86,2,FALSE)</f>
        <v>not included</v>
      </c>
      <c r="C570" t="s">
        <v>1782</v>
      </c>
      <c r="D570" t="s">
        <v>1783</v>
      </c>
      <c r="E570" t="s">
        <v>1783</v>
      </c>
      <c r="G570" t="s">
        <v>241</v>
      </c>
      <c r="H570" t="s">
        <v>466</v>
      </c>
      <c r="I570" t="s">
        <v>1784</v>
      </c>
      <c r="J570" t="s">
        <v>1785</v>
      </c>
      <c r="AR570">
        <v>0</v>
      </c>
      <c r="AS570" t="s">
        <v>2600</v>
      </c>
    </row>
    <row r="571" spans="1:45" x14ac:dyDescent="0.25">
      <c r="A571">
        <v>99</v>
      </c>
      <c r="B571" t="str">
        <f>VLOOKUP(A571,'model groups'!$A$3:$C$86,2,FALSE)</f>
        <v>not included</v>
      </c>
      <c r="D571" t="s">
        <v>1786</v>
      </c>
      <c r="E571" t="s">
        <v>1786</v>
      </c>
      <c r="G571" t="s">
        <v>241</v>
      </c>
      <c r="H571" t="s">
        <v>1442</v>
      </c>
      <c r="I571" t="s">
        <v>1787</v>
      </c>
      <c r="J571" t="s">
        <v>1788</v>
      </c>
      <c r="K571" t="s">
        <v>1789</v>
      </c>
      <c r="AR571">
        <v>0</v>
      </c>
      <c r="AS571" t="s">
        <v>2600</v>
      </c>
    </row>
    <row r="572" spans="1:45" x14ac:dyDescent="0.25">
      <c r="A572">
        <v>99</v>
      </c>
      <c r="B572" t="str">
        <f>VLOOKUP(A572,'model groups'!$A$3:$C$86,2,FALSE)</f>
        <v>not included</v>
      </c>
      <c r="D572" t="s">
        <v>1790</v>
      </c>
      <c r="E572" t="s">
        <v>1790</v>
      </c>
      <c r="G572" t="s">
        <v>241</v>
      </c>
      <c r="H572" t="s">
        <v>1442</v>
      </c>
      <c r="I572" t="s">
        <v>1787</v>
      </c>
      <c r="J572" t="s">
        <v>1788</v>
      </c>
      <c r="K572" t="s">
        <v>379</v>
      </c>
      <c r="AR572">
        <v>0</v>
      </c>
      <c r="AS572" t="s">
        <v>2600</v>
      </c>
    </row>
    <row r="573" spans="1:45" x14ac:dyDescent="0.25">
      <c r="A573">
        <v>99</v>
      </c>
      <c r="B573" t="str">
        <f>VLOOKUP(A573,'model groups'!$A$3:$C$86,2,FALSE)</f>
        <v>not included</v>
      </c>
      <c r="D573" t="s">
        <v>1791</v>
      </c>
      <c r="E573" t="s">
        <v>1791</v>
      </c>
      <c r="G573" t="s">
        <v>241</v>
      </c>
      <c r="H573" t="s">
        <v>1442</v>
      </c>
      <c r="I573" t="s">
        <v>1787</v>
      </c>
      <c r="J573" t="s">
        <v>1792</v>
      </c>
      <c r="K573" t="s">
        <v>1793</v>
      </c>
      <c r="AR573">
        <v>0</v>
      </c>
      <c r="AS573" t="s">
        <v>2600</v>
      </c>
    </row>
    <row r="574" spans="1:45" x14ac:dyDescent="0.25">
      <c r="A574">
        <v>99</v>
      </c>
      <c r="B574" t="str">
        <f>VLOOKUP(A574,'model groups'!$A$3:$C$86,2,FALSE)</f>
        <v>not included</v>
      </c>
      <c r="D574" t="s">
        <v>1794</v>
      </c>
      <c r="E574" t="s">
        <v>1794</v>
      </c>
      <c r="G574" t="s">
        <v>241</v>
      </c>
      <c r="H574" t="s">
        <v>1442</v>
      </c>
      <c r="I574" t="s">
        <v>1787</v>
      </c>
      <c r="J574" t="s">
        <v>1792</v>
      </c>
      <c r="K574" t="s">
        <v>1795</v>
      </c>
      <c r="AR574">
        <v>0</v>
      </c>
      <c r="AS574" t="s">
        <v>2600</v>
      </c>
    </row>
    <row r="575" spans="1:45" x14ac:dyDescent="0.25">
      <c r="A575">
        <v>99</v>
      </c>
      <c r="B575" t="str">
        <f>VLOOKUP(A575,'model groups'!$A$3:$C$86,2,FALSE)</f>
        <v>not included</v>
      </c>
      <c r="C575" t="s">
        <v>1796</v>
      </c>
      <c r="D575" t="s">
        <v>1797</v>
      </c>
      <c r="E575" t="s">
        <v>1797</v>
      </c>
      <c r="G575" t="s">
        <v>241</v>
      </c>
      <c r="H575" t="s">
        <v>1442</v>
      </c>
      <c r="I575" t="s">
        <v>1787</v>
      </c>
      <c r="J575" t="s">
        <v>1792</v>
      </c>
      <c r="AR575">
        <v>0</v>
      </c>
      <c r="AS575" t="s">
        <v>2600</v>
      </c>
    </row>
    <row r="576" spans="1:45" x14ac:dyDescent="0.25">
      <c r="A576">
        <v>99</v>
      </c>
      <c r="B576" t="str">
        <f>VLOOKUP(A576,'model groups'!$A$3:$C$86,2,FALSE)</f>
        <v>not included</v>
      </c>
      <c r="C576" t="s">
        <v>379</v>
      </c>
      <c r="D576" t="s">
        <v>1798</v>
      </c>
      <c r="E576" t="s">
        <v>1798</v>
      </c>
      <c r="G576" t="s">
        <v>241</v>
      </c>
      <c r="H576" t="s">
        <v>1442</v>
      </c>
      <c r="I576" t="s">
        <v>1787</v>
      </c>
      <c r="J576" t="s">
        <v>1792</v>
      </c>
      <c r="AR576">
        <v>0</v>
      </c>
      <c r="AS576" t="s">
        <v>2600</v>
      </c>
    </row>
    <row r="577" spans="1:45" x14ac:dyDescent="0.25">
      <c r="A577">
        <v>99</v>
      </c>
      <c r="B577" t="str">
        <f>VLOOKUP(A577,'model groups'!$A$3:$C$86,2,FALSE)</f>
        <v>not included</v>
      </c>
      <c r="C577" t="s">
        <v>1799</v>
      </c>
      <c r="D577" t="s">
        <v>1800</v>
      </c>
      <c r="E577" t="s">
        <v>1800</v>
      </c>
      <c r="G577" t="s">
        <v>241</v>
      </c>
      <c r="H577" t="s">
        <v>1442</v>
      </c>
      <c r="I577" t="s">
        <v>1787</v>
      </c>
      <c r="J577" t="s">
        <v>1801</v>
      </c>
      <c r="AR577">
        <v>0</v>
      </c>
      <c r="AS577" t="s">
        <v>2600</v>
      </c>
    </row>
    <row r="578" spans="1:45" x14ac:dyDescent="0.25">
      <c r="A578">
        <v>99</v>
      </c>
      <c r="B578" t="str">
        <f>VLOOKUP(A578,'model groups'!$A$3:$C$86,2,FALSE)</f>
        <v>not included</v>
      </c>
      <c r="C578" t="s">
        <v>1802</v>
      </c>
      <c r="D578" t="s">
        <v>1803</v>
      </c>
      <c r="E578" t="s">
        <v>1803</v>
      </c>
      <c r="G578" t="s">
        <v>241</v>
      </c>
      <c r="H578" t="s">
        <v>1319</v>
      </c>
      <c r="I578" t="s">
        <v>796</v>
      </c>
      <c r="J578" t="s">
        <v>1804</v>
      </c>
      <c r="AR578">
        <v>0</v>
      </c>
      <c r="AS578" t="s">
        <v>2600</v>
      </c>
    </row>
    <row r="579" spans="1:45" x14ac:dyDescent="0.25">
      <c r="A579">
        <v>99</v>
      </c>
      <c r="B579" t="str">
        <f>VLOOKUP(A579,'model groups'!$A$3:$C$86,2,FALSE)</f>
        <v>not included</v>
      </c>
      <c r="C579" t="s">
        <v>1805</v>
      </c>
      <c r="D579" t="s">
        <v>1806</v>
      </c>
      <c r="E579" t="s">
        <v>1806</v>
      </c>
      <c r="G579" t="s">
        <v>241</v>
      </c>
      <c r="H579" t="s">
        <v>1319</v>
      </c>
      <c r="I579" t="s">
        <v>796</v>
      </c>
      <c r="J579" t="s">
        <v>1807</v>
      </c>
      <c r="AR579">
        <v>0</v>
      </c>
      <c r="AS579" t="s">
        <v>2600</v>
      </c>
    </row>
    <row r="580" spans="1:45" x14ac:dyDescent="0.25">
      <c r="A580">
        <v>99</v>
      </c>
      <c r="B580" t="str">
        <f>VLOOKUP(A580,'model groups'!$A$3:$C$86,2,FALSE)</f>
        <v>not included</v>
      </c>
      <c r="C580" t="s">
        <v>1811</v>
      </c>
      <c r="D580" t="s">
        <v>1812</v>
      </c>
      <c r="E580" t="s">
        <v>1812</v>
      </c>
      <c r="G580" t="s">
        <v>241</v>
      </c>
      <c r="H580" t="s">
        <v>994</v>
      </c>
      <c r="I580" t="s">
        <v>1813</v>
      </c>
      <c r="J580" t="s">
        <v>1814</v>
      </c>
      <c r="AR580">
        <v>0</v>
      </c>
      <c r="AS580" t="s">
        <v>2600</v>
      </c>
    </row>
    <row r="581" spans="1:45" x14ac:dyDescent="0.25">
      <c r="A581">
        <v>99</v>
      </c>
      <c r="B581" t="str">
        <f>VLOOKUP(A581,'model groups'!$A$3:$C$86,2,FALSE)</f>
        <v>not included</v>
      </c>
      <c r="C581" t="s">
        <v>1815</v>
      </c>
      <c r="D581" t="s">
        <v>1816</v>
      </c>
      <c r="E581" t="s">
        <v>1816</v>
      </c>
      <c r="G581" t="s">
        <v>241</v>
      </c>
      <c r="H581" t="s">
        <v>1060</v>
      </c>
      <c r="I581" t="s">
        <v>1817</v>
      </c>
      <c r="J581" t="s">
        <v>1818</v>
      </c>
      <c r="AR581">
        <v>0</v>
      </c>
      <c r="AS581" t="s">
        <v>2600</v>
      </c>
    </row>
    <row r="582" spans="1:45" x14ac:dyDescent="0.25">
      <c r="A582">
        <v>99</v>
      </c>
      <c r="B582" t="str">
        <f>VLOOKUP(A582,'model groups'!$A$3:$C$86,2,FALSE)</f>
        <v>not included</v>
      </c>
      <c r="C582" t="s">
        <v>1819</v>
      </c>
      <c r="D582" t="s">
        <v>1820</v>
      </c>
      <c r="E582" t="s">
        <v>1820</v>
      </c>
      <c r="G582" t="s">
        <v>241</v>
      </c>
      <c r="H582" t="s">
        <v>209</v>
      </c>
      <c r="I582" t="s">
        <v>197</v>
      </c>
      <c r="J582" t="s">
        <v>1821</v>
      </c>
      <c r="AR582">
        <v>0</v>
      </c>
      <c r="AS582" t="s">
        <v>2600</v>
      </c>
    </row>
    <row r="583" spans="1:45" x14ac:dyDescent="0.25">
      <c r="A583">
        <v>99</v>
      </c>
      <c r="B583" t="str">
        <f>VLOOKUP(A583,'model groups'!$A$3:$C$86,2,FALSE)</f>
        <v>not included</v>
      </c>
      <c r="C583" t="s">
        <v>1822</v>
      </c>
      <c r="D583" t="s">
        <v>1823</v>
      </c>
      <c r="E583" t="s">
        <v>1823</v>
      </c>
      <c r="G583" t="s">
        <v>45</v>
      </c>
      <c r="H583" t="s">
        <v>46</v>
      </c>
      <c r="I583" t="s">
        <v>47</v>
      </c>
      <c r="J583" t="s">
        <v>48</v>
      </c>
      <c r="AR583">
        <v>0</v>
      </c>
      <c r="AS583" t="s">
        <v>2600</v>
      </c>
    </row>
    <row r="584" spans="1:45" x14ac:dyDescent="0.25">
      <c r="A584">
        <v>99</v>
      </c>
      <c r="B584" t="str">
        <f>VLOOKUP(A584,'model groups'!$A$3:$C$86,2,FALSE)</f>
        <v>not included</v>
      </c>
      <c r="C584" t="s">
        <v>1824</v>
      </c>
      <c r="D584" t="s">
        <v>1825</v>
      </c>
      <c r="E584" t="s">
        <v>1825</v>
      </c>
      <c r="G584" t="s">
        <v>45</v>
      </c>
      <c r="H584" t="s">
        <v>46</v>
      </c>
      <c r="I584" t="s">
        <v>47</v>
      </c>
      <c r="J584" t="s">
        <v>48</v>
      </c>
      <c r="AR584">
        <v>0</v>
      </c>
      <c r="AS584" t="s">
        <v>2600</v>
      </c>
    </row>
    <row r="585" spans="1:45" x14ac:dyDescent="0.25">
      <c r="A585">
        <v>99</v>
      </c>
      <c r="B585" t="str">
        <f>VLOOKUP(A585,'model groups'!$A$3:$C$86,2,FALSE)</f>
        <v>not included</v>
      </c>
      <c r="C585" t="s">
        <v>1826</v>
      </c>
      <c r="D585" t="s">
        <v>1827</v>
      </c>
      <c r="E585" t="s">
        <v>1827</v>
      </c>
      <c r="G585" t="s">
        <v>241</v>
      </c>
      <c r="H585" t="s">
        <v>1828</v>
      </c>
      <c r="I585" t="s">
        <v>1829</v>
      </c>
      <c r="J585" t="s">
        <v>1830</v>
      </c>
      <c r="AR585">
        <v>0</v>
      </c>
      <c r="AS585" t="s">
        <v>2600</v>
      </c>
    </row>
    <row r="586" spans="1:45" x14ac:dyDescent="0.25">
      <c r="A586">
        <v>99</v>
      </c>
      <c r="B586" t="str">
        <f>VLOOKUP(A586,'model groups'!$A$3:$C$86,2,FALSE)</f>
        <v>not included</v>
      </c>
      <c r="C586" t="s">
        <v>1831</v>
      </c>
      <c r="D586" t="s">
        <v>1832</v>
      </c>
      <c r="E586" t="s">
        <v>1832</v>
      </c>
      <c r="G586" t="s">
        <v>241</v>
      </c>
      <c r="H586" t="s">
        <v>1828</v>
      </c>
      <c r="I586" t="s">
        <v>1829</v>
      </c>
      <c r="J586" t="s">
        <v>1830</v>
      </c>
      <c r="AR586">
        <v>0</v>
      </c>
      <c r="AS586" t="s">
        <v>2600</v>
      </c>
    </row>
    <row r="587" spans="1:45" x14ac:dyDescent="0.25">
      <c r="A587">
        <v>99</v>
      </c>
      <c r="B587" t="str">
        <f>VLOOKUP(A587,'model groups'!$A$3:$C$86,2,FALSE)</f>
        <v>not included</v>
      </c>
      <c r="C587" t="s">
        <v>1833</v>
      </c>
      <c r="D587" t="s">
        <v>1834</v>
      </c>
      <c r="E587" t="s">
        <v>1834</v>
      </c>
      <c r="G587" t="s">
        <v>241</v>
      </c>
      <c r="H587" t="s">
        <v>1828</v>
      </c>
      <c r="I587" t="s">
        <v>1829</v>
      </c>
      <c r="J587" t="s">
        <v>1830</v>
      </c>
      <c r="AR587">
        <v>0</v>
      </c>
      <c r="AS587" t="s">
        <v>2600</v>
      </c>
    </row>
    <row r="588" spans="1:45" x14ac:dyDescent="0.25">
      <c r="A588">
        <v>99</v>
      </c>
      <c r="B588" t="str">
        <f>VLOOKUP(A588,'model groups'!$A$3:$C$86,2,FALSE)</f>
        <v>not included</v>
      </c>
      <c r="C588" t="s">
        <v>1835</v>
      </c>
      <c r="D588" t="s">
        <v>1836</v>
      </c>
      <c r="E588" t="s">
        <v>1836</v>
      </c>
      <c r="G588" t="s">
        <v>195</v>
      </c>
      <c r="H588" t="s">
        <v>196</v>
      </c>
      <c r="I588" t="s">
        <v>1829</v>
      </c>
      <c r="J588" t="s">
        <v>1837</v>
      </c>
      <c r="T588" t="str">
        <f>IF(OR(AK588=1,AN588=1),"reef","no")</f>
        <v>no</v>
      </c>
      <c r="U588" s="1"/>
      <c r="V588" s="1"/>
      <c r="W588" s="1"/>
      <c r="X588" s="1"/>
      <c r="Y588" s="1"/>
      <c r="Z588" s="1"/>
      <c r="AA588" s="1"/>
      <c r="AB588" s="1"/>
      <c r="AG588">
        <v>0</v>
      </c>
      <c r="AH588">
        <v>0</v>
      </c>
      <c r="AI588">
        <v>0</v>
      </c>
      <c r="AJ588">
        <v>0</v>
      </c>
      <c r="AK588">
        <v>0</v>
      </c>
      <c r="AL588">
        <v>1</v>
      </c>
      <c r="AM588">
        <v>0</v>
      </c>
      <c r="AN588">
        <v>0</v>
      </c>
      <c r="AO588">
        <v>0</v>
      </c>
      <c r="AP588">
        <v>0</v>
      </c>
      <c r="AQ588">
        <v>0</v>
      </c>
      <c r="AR588">
        <v>0</v>
      </c>
      <c r="AS588" t="s">
        <v>2600</v>
      </c>
    </row>
    <row r="589" spans="1:45" x14ac:dyDescent="0.25">
      <c r="A589">
        <v>99</v>
      </c>
      <c r="B589" t="str">
        <f>VLOOKUP(A589,'model groups'!$A$3:$C$86,2,FALSE)</f>
        <v>not included</v>
      </c>
      <c r="C589" t="s">
        <v>379</v>
      </c>
      <c r="D589" t="s">
        <v>1838</v>
      </c>
      <c r="E589" t="s">
        <v>1838</v>
      </c>
      <c r="G589" t="s">
        <v>241</v>
      </c>
      <c r="H589" t="s">
        <v>233</v>
      </c>
      <c r="I589" t="s">
        <v>1839</v>
      </c>
      <c r="J589" t="s">
        <v>379</v>
      </c>
      <c r="AR589">
        <v>0</v>
      </c>
      <c r="AS589" t="s">
        <v>2600</v>
      </c>
    </row>
    <row r="590" spans="1:45" x14ac:dyDescent="0.25">
      <c r="A590">
        <v>99</v>
      </c>
      <c r="B590" t="str">
        <f>VLOOKUP(A590,'model groups'!$A$3:$C$86,2,FALSE)</f>
        <v>not included</v>
      </c>
      <c r="C590" t="s">
        <v>1840</v>
      </c>
      <c r="D590" t="s">
        <v>1841</v>
      </c>
      <c r="E590" t="s">
        <v>1841</v>
      </c>
      <c r="G590" t="s">
        <v>241</v>
      </c>
      <c r="H590" t="s">
        <v>1027</v>
      </c>
      <c r="I590" t="s">
        <v>1842</v>
      </c>
      <c r="J590" t="s">
        <v>1843</v>
      </c>
      <c r="AR590">
        <v>0</v>
      </c>
      <c r="AS590" t="s">
        <v>2600</v>
      </c>
    </row>
    <row r="591" spans="1:45" x14ac:dyDescent="0.25">
      <c r="A591">
        <v>99</v>
      </c>
      <c r="B591" t="str">
        <f>VLOOKUP(A591,'model groups'!$A$3:$C$86,2,FALSE)</f>
        <v>not included</v>
      </c>
      <c r="C591" t="s">
        <v>1844</v>
      </c>
      <c r="D591" t="s">
        <v>1845</v>
      </c>
      <c r="E591" t="s">
        <v>1845</v>
      </c>
      <c r="G591" t="s">
        <v>379</v>
      </c>
      <c r="H591" t="s">
        <v>1846</v>
      </c>
      <c r="I591" t="s">
        <v>1847</v>
      </c>
      <c r="J591" t="s">
        <v>1848</v>
      </c>
      <c r="AR591">
        <v>0</v>
      </c>
      <c r="AS591" t="s">
        <v>2600</v>
      </c>
    </row>
    <row r="592" spans="1:45" x14ac:dyDescent="0.25">
      <c r="A592">
        <v>99</v>
      </c>
      <c r="B592" t="str">
        <f>VLOOKUP(A592,'model groups'!$A$3:$C$86,2,FALSE)</f>
        <v>not included</v>
      </c>
      <c r="C592" t="s">
        <v>1844</v>
      </c>
      <c r="D592" t="s">
        <v>1849</v>
      </c>
      <c r="E592" t="s">
        <v>1849</v>
      </c>
      <c r="G592" t="s">
        <v>379</v>
      </c>
      <c r="H592" t="s">
        <v>1846</v>
      </c>
      <c r="I592" t="s">
        <v>1847</v>
      </c>
      <c r="J592" t="s">
        <v>1848</v>
      </c>
      <c r="AR592">
        <v>0</v>
      </c>
      <c r="AS592" t="s">
        <v>2600</v>
      </c>
    </row>
    <row r="593" spans="1:45" x14ac:dyDescent="0.25">
      <c r="A593">
        <v>99</v>
      </c>
      <c r="B593" t="str">
        <f>VLOOKUP(A593,'model groups'!$A$3:$C$86,2,FALSE)</f>
        <v>not included</v>
      </c>
      <c r="C593" t="s">
        <v>1850</v>
      </c>
      <c r="D593" t="s">
        <v>1851</v>
      </c>
      <c r="E593" t="s">
        <v>1851</v>
      </c>
      <c r="G593" t="s">
        <v>45</v>
      </c>
      <c r="H593" t="s">
        <v>1852</v>
      </c>
      <c r="I593" t="s">
        <v>1853</v>
      </c>
      <c r="J593" t="s">
        <v>1854</v>
      </c>
      <c r="AR593">
        <v>0</v>
      </c>
      <c r="AS593" t="s">
        <v>2600</v>
      </c>
    </row>
    <row r="594" spans="1:45" x14ac:dyDescent="0.25">
      <c r="A594">
        <v>99</v>
      </c>
      <c r="B594" t="str">
        <f>VLOOKUP(A594,'model groups'!$A$3:$C$86,2,FALSE)</f>
        <v>not included</v>
      </c>
      <c r="C594" t="s">
        <v>379</v>
      </c>
      <c r="D594" t="s">
        <v>1855</v>
      </c>
      <c r="E594" t="s">
        <v>1855</v>
      </c>
      <c r="G594" t="s">
        <v>1856</v>
      </c>
      <c r="H594" t="s">
        <v>1857</v>
      </c>
      <c r="I594" t="s">
        <v>1858</v>
      </c>
      <c r="J594" t="s">
        <v>1859</v>
      </c>
      <c r="AR594">
        <v>0</v>
      </c>
      <c r="AS594" t="s">
        <v>2600</v>
      </c>
    </row>
    <row r="595" spans="1:45" x14ac:dyDescent="0.25">
      <c r="A595">
        <v>99</v>
      </c>
      <c r="B595" t="str">
        <f>VLOOKUP(A595,'model groups'!$A$3:$C$86,2,FALSE)</f>
        <v>not included</v>
      </c>
      <c r="C595" t="s">
        <v>1860</v>
      </c>
      <c r="D595" t="s">
        <v>1861</v>
      </c>
      <c r="E595" t="s">
        <v>1861</v>
      </c>
      <c r="G595" t="s">
        <v>241</v>
      </c>
      <c r="H595" t="s">
        <v>1138</v>
      </c>
      <c r="I595" t="s">
        <v>1862</v>
      </c>
      <c r="J595" t="s">
        <v>1863</v>
      </c>
      <c r="AR595">
        <v>0</v>
      </c>
      <c r="AS595" t="s">
        <v>2600</v>
      </c>
    </row>
    <row r="596" spans="1:45" x14ac:dyDescent="0.25">
      <c r="A596">
        <v>99</v>
      </c>
      <c r="B596" t="str">
        <f>VLOOKUP(A596,'model groups'!$A$3:$C$86,2,FALSE)</f>
        <v>not included</v>
      </c>
      <c r="C596" t="s">
        <v>1864</v>
      </c>
      <c r="D596" t="s">
        <v>1865</v>
      </c>
      <c r="E596" t="s">
        <v>1865</v>
      </c>
      <c r="G596" t="s">
        <v>241</v>
      </c>
      <c r="H596" t="s">
        <v>1866</v>
      </c>
      <c r="I596" t="s">
        <v>1867</v>
      </c>
      <c r="J596" t="s">
        <v>1868</v>
      </c>
      <c r="AR596">
        <v>0</v>
      </c>
      <c r="AS596" t="s">
        <v>2600</v>
      </c>
    </row>
    <row r="597" spans="1:45" x14ac:dyDescent="0.25">
      <c r="A597">
        <v>99</v>
      </c>
      <c r="B597" t="str">
        <f>VLOOKUP(A597,'model groups'!$A$3:$C$86,2,FALSE)</f>
        <v>not included</v>
      </c>
      <c r="C597" t="s">
        <v>71</v>
      </c>
      <c r="D597" t="s">
        <v>1869</v>
      </c>
      <c r="E597" t="s">
        <v>1869</v>
      </c>
      <c r="G597" t="s">
        <v>195</v>
      </c>
      <c r="H597" t="s">
        <v>1866</v>
      </c>
      <c r="I597" t="s">
        <v>1867</v>
      </c>
      <c r="J597" t="s">
        <v>1870</v>
      </c>
      <c r="K597" t="s">
        <v>1871</v>
      </c>
      <c r="L597" t="s">
        <v>71</v>
      </c>
      <c r="M597" t="s">
        <v>71</v>
      </c>
      <c r="N597" t="s">
        <v>71</v>
      </c>
      <c r="O597" t="s">
        <v>71</v>
      </c>
      <c r="P597" t="s">
        <v>71</v>
      </c>
      <c r="Q597" t="s">
        <v>71</v>
      </c>
      <c r="R597" t="s">
        <v>71</v>
      </c>
      <c r="S597" t="s">
        <v>71</v>
      </c>
      <c r="U597" t="s">
        <v>71</v>
      </c>
      <c r="V597" t="s">
        <v>71</v>
      </c>
      <c r="W597" t="s">
        <v>71</v>
      </c>
      <c r="X597" t="s">
        <v>71</v>
      </c>
      <c r="Y597" t="s">
        <v>71</v>
      </c>
      <c r="Z597" t="s">
        <v>71</v>
      </c>
      <c r="AA597" t="s">
        <v>71</v>
      </c>
      <c r="AB597" t="s">
        <v>71</v>
      </c>
      <c r="AC597" t="s">
        <v>71</v>
      </c>
      <c r="AD597" t="s">
        <v>71</v>
      </c>
      <c r="AE597" t="s">
        <v>71</v>
      </c>
      <c r="AF597" t="s">
        <v>71</v>
      </c>
      <c r="AG597">
        <v>0</v>
      </c>
      <c r="AH597">
        <v>0</v>
      </c>
      <c r="AI597">
        <v>0</v>
      </c>
      <c r="AJ597">
        <v>0</v>
      </c>
      <c r="AK597">
        <v>0</v>
      </c>
      <c r="AL597">
        <v>0</v>
      </c>
      <c r="AM597">
        <v>0</v>
      </c>
      <c r="AN597">
        <v>0</v>
      </c>
      <c r="AO597">
        <v>0</v>
      </c>
      <c r="AP597">
        <v>0</v>
      </c>
      <c r="AQ597">
        <v>1</v>
      </c>
      <c r="AR597">
        <v>0</v>
      </c>
      <c r="AS597" t="s">
        <v>2600</v>
      </c>
    </row>
    <row r="598" spans="1:45" x14ac:dyDescent="0.25">
      <c r="A598">
        <v>99</v>
      </c>
      <c r="B598" t="str">
        <f>VLOOKUP(A598,'model groups'!$A$3:$C$86,2,FALSE)</f>
        <v>not included</v>
      </c>
      <c r="C598" t="s">
        <v>1872</v>
      </c>
      <c r="D598" t="s">
        <v>1873</v>
      </c>
      <c r="E598" t="s">
        <v>1873</v>
      </c>
      <c r="G598" t="s">
        <v>195</v>
      </c>
      <c r="H598" t="s">
        <v>1380</v>
      </c>
      <c r="I598" t="s">
        <v>1381</v>
      </c>
      <c r="J598" t="s">
        <v>1874</v>
      </c>
      <c r="K598" t="s">
        <v>1875</v>
      </c>
      <c r="L598" s="4" t="s">
        <v>71</v>
      </c>
      <c r="M598" s="4" t="s">
        <v>71</v>
      </c>
      <c r="N598" s="4" t="s">
        <v>71</v>
      </c>
      <c r="O598" s="4" t="s">
        <v>71</v>
      </c>
      <c r="P598" s="4" t="s">
        <v>71</v>
      </c>
      <c r="Q598" s="4" t="s">
        <v>71</v>
      </c>
      <c r="R598" t="s">
        <v>71</v>
      </c>
      <c r="S598" t="s">
        <v>71</v>
      </c>
      <c r="T598" t="str">
        <f>IF(OR(AK598=1,AN598=1),"reef","no")</f>
        <v>no</v>
      </c>
      <c r="U598" t="s">
        <v>71</v>
      </c>
      <c r="V598" t="s">
        <v>71</v>
      </c>
      <c r="W598" t="s">
        <v>71</v>
      </c>
      <c r="X598" t="s">
        <v>71</v>
      </c>
      <c r="Y598" t="s">
        <v>71</v>
      </c>
      <c r="Z598" t="s">
        <v>71</v>
      </c>
      <c r="AA598" t="s">
        <v>71</v>
      </c>
      <c r="AB598" t="s">
        <v>71</v>
      </c>
      <c r="AC598" t="s">
        <v>71</v>
      </c>
      <c r="AD598" t="s">
        <v>71</v>
      </c>
      <c r="AE598" t="s">
        <v>71</v>
      </c>
      <c r="AF598" t="s">
        <v>71</v>
      </c>
      <c r="AG598">
        <v>0</v>
      </c>
      <c r="AH598">
        <v>0</v>
      </c>
      <c r="AI598">
        <v>0</v>
      </c>
      <c r="AJ598">
        <v>0</v>
      </c>
      <c r="AK598">
        <v>0</v>
      </c>
      <c r="AL598">
        <v>0</v>
      </c>
      <c r="AM598">
        <v>0</v>
      </c>
      <c r="AN598">
        <v>0</v>
      </c>
      <c r="AO598">
        <v>0</v>
      </c>
      <c r="AP598">
        <v>0</v>
      </c>
      <c r="AQ598">
        <v>1</v>
      </c>
      <c r="AR598">
        <v>0</v>
      </c>
      <c r="AS598" t="s">
        <v>2600</v>
      </c>
    </row>
    <row r="599" spans="1:45" x14ac:dyDescent="0.25">
      <c r="A599">
        <v>99</v>
      </c>
      <c r="B599" t="str">
        <f>VLOOKUP(A599,'model groups'!$A$3:$C$86,2,FALSE)</f>
        <v>not included</v>
      </c>
      <c r="C599" t="s">
        <v>1876</v>
      </c>
      <c r="D599" t="s">
        <v>1877</v>
      </c>
      <c r="E599" t="s">
        <v>1877</v>
      </c>
      <c r="G599" t="s">
        <v>195</v>
      </c>
      <c r="H599" t="s">
        <v>1380</v>
      </c>
      <c r="I599" t="s">
        <v>1381</v>
      </c>
      <c r="J599" t="s">
        <v>1874</v>
      </c>
      <c r="K599" t="s">
        <v>1878</v>
      </c>
      <c r="L599" s="4" t="s">
        <v>71</v>
      </c>
      <c r="M599" s="4" t="s">
        <v>71</v>
      </c>
      <c r="N599" s="4" t="s">
        <v>71</v>
      </c>
      <c r="O599" s="4" t="s">
        <v>71</v>
      </c>
      <c r="P599" s="4" t="s">
        <v>71</v>
      </c>
      <c r="Q599" s="4" t="s">
        <v>71</v>
      </c>
      <c r="R599" t="s">
        <v>71</v>
      </c>
      <c r="S599" t="s">
        <v>71</v>
      </c>
      <c r="T599" t="str">
        <f>IF(OR(AK599=1,AN599=1),"reef","no")</f>
        <v>no</v>
      </c>
      <c r="U599" t="s">
        <v>71</v>
      </c>
      <c r="V599" t="s">
        <v>71</v>
      </c>
      <c r="W599" t="s">
        <v>71</v>
      </c>
      <c r="X599" t="s">
        <v>71</v>
      </c>
      <c r="Y599" t="s">
        <v>71</v>
      </c>
      <c r="Z599" t="s">
        <v>71</v>
      </c>
      <c r="AA599" t="s">
        <v>71</v>
      </c>
      <c r="AB599" t="s">
        <v>71</v>
      </c>
      <c r="AC599" t="s">
        <v>71</v>
      </c>
      <c r="AD599" t="s">
        <v>71</v>
      </c>
      <c r="AE599" t="s">
        <v>71</v>
      </c>
      <c r="AF599" t="s">
        <v>71</v>
      </c>
      <c r="AG599">
        <v>0</v>
      </c>
      <c r="AH599">
        <v>0</v>
      </c>
      <c r="AI599">
        <v>0</v>
      </c>
      <c r="AJ599">
        <v>0</v>
      </c>
      <c r="AK599">
        <v>0</v>
      </c>
      <c r="AL599">
        <v>0</v>
      </c>
      <c r="AM599">
        <v>0</v>
      </c>
      <c r="AN599">
        <v>0</v>
      </c>
      <c r="AO599">
        <v>0</v>
      </c>
      <c r="AP599">
        <v>0</v>
      </c>
      <c r="AQ599">
        <v>1</v>
      </c>
      <c r="AR599">
        <v>0</v>
      </c>
      <c r="AS599" t="s">
        <v>2600</v>
      </c>
    </row>
    <row r="600" spans="1:45" x14ac:dyDescent="0.25">
      <c r="A600">
        <v>99</v>
      </c>
      <c r="B600" t="str">
        <f>VLOOKUP(A600,'model groups'!$A$3:$C$86,2,FALSE)</f>
        <v>not included</v>
      </c>
      <c r="C600" t="s">
        <v>1879</v>
      </c>
      <c r="D600" t="s">
        <v>1880</v>
      </c>
      <c r="E600" t="s">
        <v>1880</v>
      </c>
      <c r="G600" t="s">
        <v>241</v>
      </c>
      <c r="H600" t="s">
        <v>1881</v>
      </c>
      <c r="I600" t="s">
        <v>1882</v>
      </c>
      <c r="J600" t="s">
        <v>1883</v>
      </c>
      <c r="AR600">
        <v>0</v>
      </c>
      <c r="AS600" t="s">
        <v>2600</v>
      </c>
    </row>
    <row r="601" spans="1:45" x14ac:dyDescent="0.25">
      <c r="A601">
        <v>99</v>
      </c>
      <c r="B601" t="str">
        <f>VLOOKUP(A601,'model groups'!$A$3:$C$86,2,FALSE)</f>
        <v>not included</v>
      </c>
      <c r="C601" t="s">
        <v>1884</v>
      </c>
      <c r="D601" t="s">
        <v>1885</v>
      </c>
      <c r="E601" t="s">
        <v>1885</v>
      </c>
      <c r="G601" t="s">
        <v>241</v>
      </c>
      <c r="H601" t="s">
        <v>1881</v>
      </c>
      <c r="I601" t="s">
        <v>1882</v>
      </c>
      <c r="J601" t="s">
        <v>1886</v>
      </c>
      <c r="AR601">
        <v>0</v>
      </c>
      <c r="AS601" t="s">
        <v>2600</v>
      </c>
    </row>
    <row r="602" spans="1:45" x14ac:dyDescent="0.25">
      <c r="A602">
        <v>99</v>
      </c>
      <c r="B602" t="str">
        <f>VLOOKUP(A602,'model groups'!$A$3:$C$86,2,FALSE)</f>
        <v>not included</v>
      </c>
      <c r="C602" t="s">
        <v>1887</v>
      </c>
      <c r="D602" t="s">
        <v>1888</v>
      </c>
      <c r="E602" t="s">
        <v>1888</v>
      </c>
      <c r="G602" t="s">
        <v>1889</v>
      </c>
      <c r="H602" t="s">
        <v>1890</v>
      </c>
      <c r="I602" t="s">
        <v>1891</v>
      </c>
      <c r="J602" t="s">
        <v>1892</v>
      </c>
      <c r="AR602">
        <v>0</v>
      </c>
      <c r="AS602" t="s">
        <v>2600</v>
      </c>
    </row>
    <row r="603" spans="1:45" x14ac:dyDescent="0.25">
      <c r="A603">
        <v>99</v>
      </c>
      <c r="B603" t="str">
        <f>VLOOKUP(A603,'model groups'!$A$3:$C$86,2,FALSE)</f>
        <v>not included</v>
      </c>
      <c r="C603" t="s">
        <v>1893</v>
      </c>
      <c r="D603" t="s">
        <v>1894</v>
      </c>
      <c r="E603" t="s">
        <v>1894</v>
      </c>
      <c r="G603" t="s">
        <v>1622</v>
      </c>
      <c r="H603" t="s">
        <v>1895</v>
      </c>
      <c r="I603" t="s">
        <v>1896</v>
      </c>
      <c r="J603" t="s">
        <v>1897</v>
      </c>
      <c r="AR603">
        <v>0</v>
      </c>
      <c r="AS603" t="s">
        <v>2600</v>
      </c>
    </row>
    <row r="604" spans="1:45" x14ac:dyDescent="0.25">
      <c r="A604">
        <v>99</v>
      </c>
      <c r="B604" t="str">
        <f>VLOOKUP(A604,'model groups'!$A$3:$C$86,2,FALSE)</f>
        <v>not included</v>
      </c>
      <c r="C604" t="s">
        <v>1898</v>
      </c>
      <c r="D604" t="s">
        <v>1899</v>
      </c>
      <c r="E604" t="s">
        <v>1899</v>
      </c>
      <c r="G604" t="s">
        <v>241</v>
      </c>
      <c r="H604" t="s">
        <v>1380</v>
      </c>
      <c r="I604" t="s">
        <v>1900</v>
      </c>
      <c r="J604" t="s">
        <v>1901</v>
      </c>
      <c r="AR604">
        <v>0</v>
      </c>
      <c r="AS604" t="s">
        <v>2600</v>
      </c>
    </row>
    <row r="605" spans="1:45" x14ac:dyDescent="0.25">
      <c r="A605">
        <v>99</v>
      </c>
      <c r="B605" t="str">
        <f>VLOOKUP(A605,'model groups'!$A$3:$C$86,2,FALSE)</f>
        <v>not included</v>
      </c>
      <c r="C605" t="s">
        <v>1902</v>
      </c>
      <c r="D605" t="s">
        <v>1903</v>
      </c>
      <c r="E605" t="s">
        <v>1903</v>
      </c>
      <c r="G605" t="s">
        <v>195</v>
      </c>
      <c r="H605" t="s">
        <v>196</v>
      </c>
      <c r="I605" t="s">
        <v>1904</v>
      </c>
      <c r="J605" t="s">
        <v>1905</v>
      </c>
      <c r="T605" t="str">
        <f>IF(OR(AK605=1,AN605=1),"reef","no")</f>
        <v>reef</v>
      </c>
      <c r="U605" s="1"/>
      <c r="V605" s="1"/>
      <c r="W605" s="1"/>
      <c r="X605" s="1"/>
      <c r="Y605" s="1"/>
      <c r="Z605" s="1"/>
      <c r="AA605" s="1"/>
      <c r="AB605" s="1"/>
      <c r="AG605">
        <v>0</v>
      </c>
      <c r="AH605">
        <v>1</v>
      </c>
      <c r="AI605">
        <v>1</v>
      </c>
      <c r="AJ605">
        <v>1</v>
      </c>
      <c r="AK605">
        <v>0</v>
      </c>
      <c r="AL605">
        <v>0</v>
      </c>
      <c r="AM605">
        <v>1</v>
      </c>
      <c r="AN605">
        <v>1</v>
      </c>
      <c r="AO605">
        <v>0</v>
      </c>
      <c r="AP605">
        <v>0</v>
      </c>
      <c r="AQ605">
        <v>0</v>
      </c>
      <c r="AR605">
        <v>0</v>
      </c>
      <c r="AS605" t="s">
        <v>2600</v>
      </c>
    </row>
    <row r="606" spans="1:45" x14ac:dyDescent="0.25">
      <c r="A606">
        <v>99</v>
      </c>
      <c r="B606" t="str">
        <f>VLOOKUP(A606,'model groups'!$A$3:$C$86,2,FALSE)</f>
        <v>not included</v>
      </c>
      <c r="C606" t="s">
        <v>1906</v>
      </c>
      <c r="D606" t="s">
        <v>1907</v>
      </c>
      <c r="E606" t="s">
        <v>1907</v>
      </c>
      <c r="G606" t="s">
        <v>195</v>
      </c>
      <c r="H606" t="s">
        <v>196</v>
      </c>
      <c r="I606" t="s">
        <v>1904</v>
      </c>
      <c r="J606" t="s">
        <v>1905</v>
      </c>
      <c r="K606" t="s">
        <v>1908</v>
      </c>
      <c r="L606">
        <v>0.518233469</v>
      </c>
      <c r="N606">
        <v>77.490379770000004</v>
      </c>
      <c r="P606">
        <v>45.01</v>
      </c>
      <c r="Q606">
        <v>0.27623999999999999</v>
      </c>
      <c r="R606" t="s">
        <v>70</v>
      </c>
      <c r="S606" t="s">
        <v>77</v>
      </c>
      <c r="T606" t="str">
        <f>IF(OR(AK606=1,AN606=1),"reef","no")</f>
        <v>no</v>
      </c>
      <c r="U606" s="1"/>
      <c r="V606" s="1"/>
      <c r="W606" s="1"/>
      <c r="X606" s="1"/>
      <c r="Y606" s="1"/>
      <c r="Z606" s="1"/>
      <c r="AA606" s="1"/>
      <c r="AB606" s="1"/>
      <c r="AG606">
        <v>1</v>
      </c>
      <c r="AH606">
        <v>0</v>
      </c>
      <c r="AI606">
        <v>0</v>
      </c>
      <c r="AJ606">
        <v>0</v>
      </c>
      <c r="AK606">
        <v>0</v>
      </c>
      <c r="AL606">
        <v>0</v>
      </c>
      <c r="AM606">
        <v>1</v>
      </c>
      <c r="AN606">
        <v>0</v>
      </c>
      <c r="AO606">
        <v>0</v>
      </c>
      <c r="AP606">
        <v>0</v>
      </c>
      <c r="AQ606">
        <v>0</v>
      </c>
      <c r="AR606">
        <v>0</v>
      </c>
      <c r="AS606" t="s">
        <v>2600</v>
      </c>
    </row>
    <row r="607" spans="1:45" x14ac:dyDescent="0.25">
      <c r="A607">
        <v>99</v>
      </c>
      <c r="B607" t="str">
        <f>VLOOKUP(A607,'model groups'!$A$3:$C$86,2,FALSE)</f>
        <v>not included</v>
      </c>
      <c r="D607" t="s">
        <v>1909</v>
      </c>
      <c r="E607" t="s">
        <v>1910</v>
      </c>
      <c r="G607" t="s">
        <v>195</v>
      </c>
      <c r="H607" t="s">
        <v>209</v>
      </c>
      <c r="I607" t="s">
        <v>1904</v>
      </c>
      <c r="J607" t="s">
        <v>1905</v>
      </c>
      <c r="T607" t="str">
        <f>IF(OR(AK607=1,AN607=1),"reef","no")</f>
        <v>reef</v>
      </c>
      <c r="U607" s="1"/>
      <c r="V607" s="1"/>
      <c r="W607" s="1"/>
      <c r="X607" s="1"/>
      <c r="Y607" s="1"/>
      <c r="Z607" s="1"/>
      <c r="AA607" s="1"/>
      <c r="AB607" s="1"/>
      <c r="AG607">
        <v>0</v>
      </c>
      <c r="AH607">
        <v>0</v>
      </c>
      <c r="AI607">
        <v>0</v>
      </c>
      <c r="AJ607">
        <v>0</v>
      </c>
      <c r="AK607">
        <v>1</v>
      </c>
      <c r="AL607">
        <v>0</v>
      </c>
      <c r="AM607">
        <v>0</v>
      </c>
      <c r="AN607">
        <v>0</v>
      </c>
      <c r="AO607">
        <v>0</v>
      </c>
      <c r="AP607">
        <v>0</v>
      </c>
      <c r="AQ607">
        <v>0</v>
      </c>
      <c r="AR607">
        <v>0</v>
      </c>
      <c r="AS607" t="s">
        <v>2600</v>
      </c>
    </row>
    <row r="608" spans="1:45" x14ac:dyDescent="0.25">
      <c r="A608">
        <v>99</v>
      </c>
      <c r="B608" t="str">
        <f>VLOOKUP(A608,'model groups'!$A$3:$C$86,2,FALSE)</f>
        <v>not included</v>
      </c>
      <c r="C608" t="s">
        <v>1911</v>
      </c>
      <c r="D608" t="s">
        <v>1912</v>
      </c>
      <c r="E608" t="s">
        <v>1912</v>
      </c>
      <c r="G608" t="s">
        <v>195</v>
      </c>
      <c r="H608" t="s">
        <v>196</v>
      </c>
      <c r="I608" t="s">
        <v>1904</v>
      </c>
      <c r="J608" t="s">
        <v>1913</v>
      </c>
      <c r="K608" t="s">
        <v>1914</v>
      </c>
      <c r="L608">
        <v>0.47376302999999997</v>
      </c>
      <c r="M608">
        <v>6.8559241985000003</v>
      </c>
      <c r="N608">
        <v>89.068302200000005</v>
      </c>
      <c r="O608">
        <v>3.2</v>
      </c>
      <c r="P608">
        <v>47.51</v>
      </c>
      <c r="Q608">
        <v>1.32447</v>
      </c>
      <c r="R608" t="s">
        <v>70</v>
      </c>
      <c r="S608" t="s">
        <v>77</v>
      </c>
      <c r="T608" t="str">
        <f>IF(OR(AK608=1,AN608=1),"reef","no")</f>
        <v>reef</v>
      </c>
      <c r="U608" s="1">
        <v>0.25</v>
      </c>
      <c r="V608" s="1">
        <v>0.17499999999999999</v>
      </c>
      <c r="W608" s="1">
        <v>0.27500000000000002</v>
      </c>
      <c r="X608" s="1">
        <v>0</v>
      </c>
      <c r="Y608" s="1">
        <v>0</v>
      </c>
      <c r="Z608" s="1">
        <v>0</v>
      </c>
      <c r="AA608" s="1">
        <v>0</v>
      </c>
      <c r="AB608" s="1">
        <v>0.3</v>
      </c>
      <c r="AC608">
        <v>0</v>
      </c>
      <c r="AD608">
        <v>0</v>
      </c>
      <c r="AE608">
        <v>1</v>
      </c>
      <c r="AF608">
        <v>0</v>
      </c>
      <c r="AG608">
        <v>0</v>
      </c>
      <c r="AH608">
        <v>1</v>
      </c>
      <c r="AI608">
        <v>0</v>
      </c>
      <c r="AJ608">
        <v>0</v>
      </c>
      <c r="AK608">
        <v>0</v>
      </c>
      <c r="AL608">
        <v>0</v>
      </c>
      <c r="AM608">
        <v>0</v>
      </c>
      <c r="AN608">
        <v>1</v>
      </c>
      <c r="AO608">
        <v>1</v>
      </c>
      <c r="AP608">
        <v>0</v>
      </c>
      <c r="AQ608">
        <v>0</v>
      </c>
      <c r="AR608">
        <v>0</v>
      </c>
      <c r="AS608" t="s">
        <v>2600</v>
      </c>
    </row>
    <row r="609" spans="1:45" x14ac:dyDescent="0.25">
      <c r="A609">
        <v>99</v>
      </c>
      <c r="B609" t="str">
        <f>VLOOKUP(A609,'model groups'!$A$3:$C$86,2,FALSE)</f>
        <v>not included</v>
      </c>
      <c r="D609" t="s">
        <v>1915</v>
      </c>
      <c r="E609" t="s">
        <v>1915</v>
      </c>
      <c r="G609" t="s">
        <v>195</v>
      </c>
      <c r="H609" t="s">
        <v>196</v>
      </c>
      <c r="I609" t="s">
        <v>1904</v>
      </c>
      <c r="T609" t="str">
        <f>IF(OR(AK609=1,AN609=1),"reef","no")</f>
        <v>no</v>
      </c>
      <c r="U609" s="1"/>
      <c r="V609" s="1"/>
      <c r="W609" s="1"/>
      <c r="X609" s="1"/>
      <c r="Y609" s="1"/>
      <c r="Z609" s="1"/>
      <c r="AA609" s="1"/>
      <c r="AB609" s="1"/>
      <c r="AG609">
        <v>0</v>
      </c>
      <c r="AH609">
        <v>0</v>
      </c>
      <c r="AI609">
        <v>0</v>
      </c>
      <c r="AJ609">
        <v>0</v>
      </c>
      <c r="AK609">
        <v>0</v>
      </c>
      <c r="AL609">
        <v>0</v>
      </c>
      <c r="AM609">
        <v>0</v>
      </c>
      <c r="AN609">
        <v>0</v>
      </c>
      <c r="AO609">
        <v>1</v>
      </c>
      <c r="AP609">
        <v>0</v>
      </c>
      <c r="AQ609">
        <v>0</v>
      </c>
      <c r="AR609">
        <v>0</v>
      </c>
      <c r="AS609" t="s">
        <v>2600</v>
      </c>
    </row>
    <row r="610" spans="1:45" x14ac:dyDescent="0.25">
      <c r="A610">
        <v>99</v>
      </c>
      <c r="B610" t="str">
        <f>VLOOKUP(A610,'model groups'!$A$3:$C$86,2,FALSE)</f>
        <v>not included</v>
      </c>
      <c r="C610" t="s">
        <v>1916</v>
      </c>
      <c r="D610" t="s">
        <v>1917</v>
      </c>
      <c r="E610" t="s">
        <v>1917</v>
      </c>
      <c r="G610" t="s">
        <v>45</v>
      </c>
      <c r="H610" t="s">
        <v>178</v>
      </c>
      <c r="I610" t="s">
        <v>1918</v>
      </c>
      <c r="J610" t="s">
        <v>1919</v>
      </c>
      <c r="AR610">
        <v>0</v>
      </c>
      <c r="AS610" t="s">
        <v>2600</v>
      </c>
    </row>
    <row r="611" spans="1:45" x14ac:dyDescent="0.25">
      <c r="A611">
        <v>99</v>
      </c>
      <c r="B611" t="str">
        <f>VLOOKUP(A611,'model groups'!$A$3:$C$86,2,FALSE)</f>
        <v>not included</v>
      </c>
      <c r="D611" t="s">
        <v>1920</v>
      </c>
      <c r="E611" t="s">
        <v>1920</v>
      </c>
      <c r="G611" t="s">
        <v>241</v>
      </c>
      <c r="H611" t="s">
        <v>1442</v>
      </c>
      <c r="I611" t="s">
        <v>1921</v>
      </c>
      <c r="J611" t="s">
        <v>1922</v>
      </c>
      <c r="K611" t="s">
        <v>1923</v>
      </c>
      <c r="AR611">
        <v>0</v>
      </c>
      <c r="AS611" t="s">
        <v>2600</v>
      </c>
    </row>
    <row r="612" spans="1:45" x14ac:dyDescent="0.25">
      <c r="A612">
        <v>99</v>
      </c>
      <c r="B612" t="str">
        <f>VLOOKUP(A612,'model groups'!$A$3:$C$86,2,FALSE)</f>
        <v>not included</v>
      </c>
      <c r="D612" t="s">
        <v>1924</v>
      </c>
      <c r="E612" t="s">
        <v>1924</v>
      </c>
      <c r="G612" t="s">
        <v>241</v>
      </c>
      <c r="H612" t="s">
        <v>1442</v>
      </c>
      <c r="I612" t="s">
        <v>1921</v>
      </c>
      <c r="J612" t="s">
        <v>1922</v>
      </c>
      <c r="K612" t="s">
        <v>1925</v>
      </c>
      <c r="AR612">
        <v>0</v>
      </c>
      <c r="AS612" t="s">
        <v>2600</v>
      </c>
    </row>
    <row r="613" spans="1:45" x14ac:dyDescent="0.25">
      <c r="A613">
        <v>99</v>
      </c>
      <c r="B613" t="str">
        <f>VLOOKUP(A613,'model groups'!$A$3:$C$86,2,FALSE)</f>
        <v>not included</v>
      </c>
      <c r="D613" t="s">
        <v>1926</v>
      </c>
      <c r="E613" t="s">
        <v>1926</v>
      </c>
      <c r="G613" t="s">
        <v>241</v>
      </c>
      <c r="H613" t="s">
        <v>466</v>
      </c>
      <c r="I613" t="s">
        <v>1927</v>
      </c>
      <c r="J613" t="s">
        <v>1928</v>
      </c>
      <c r="K613" t="s">
        <v>1929</v>
      </c>
      <c r="AR613">
        <v>0</v>
      </c>
      <c r="AS613" t="s">
        <v>2600</v>
      </c>
    </row>
    <row r="614" spans="1:45" x14ac:dyDescent="0.25">
      <c r="A614">
        <v>99</v>
      </c>
      <c r="B614" t="str">
        <f>VLOOKUP(A614,'model groups'!$A$3:$C$86,2,FALSE)</f>
        <v>not included</v>
      </c>
      <c r="C614" t="s">
        <v>1930</v>
      </c>
      <c r="D614" t="s">
        <v>1931</v>
      </c>
      <c r="E614" t="s">
        <v>1931</v>
      </c>
      <c r="G614" t="s">
        <v>241</v>
      </c>
      <c r="H614" t="s">
        <v>466</v>
      </c>
      <c r="I614" t="s">
        <v>1927</v>
      </c>
      <c r="J614" t="s">
        <v>1928</v>
      </c>
      <c r="AR614">
        <v>0</v>
      </c>
      <c r="AS614" t="s">
        <v>2600</v>
      </c>
    </row>
    <row r="615" spans="1:45" x14ac:dyDescent="0.25">
      <c r="A615">
        <v>99</v>
      </c>
      <c r="B615" t="str">
        <f>VLOOKUP(A615,'model groups'!$A$3:$C$86,2,FALSE)</f>
        <v>not included</v>
      </c>
      <c r="D615" t="s">
        <v>1932</v>
      </c>
      <c r="E615" t="s">
        <v>1932</v>
      </c>
      <c r="G615" t="s">
        <v>241</v>
      </c>
      <c r="H615" t="s">
        <v>1881</v>
      </c>
      <c r="I615" t="s">
        <v>1933</v>
      </c>
      <c r="J615" t="s">
        <v>1934</v>
      </c>
      <c r="K615" t="s">
        <v>1935</v>
      </c>
      <c r="AR615">
        <v>0</v>
      </c>
      <c r="AS615" t="s">
        <v>2600</v>
      </c>
    </row>
    <row r="616" spans="1:45" x14ac:dyDescent="0.25">
      <c r="A616">
        <v>99</v>
      </c>
      <c r="B616" t="str">
        <f>VLOOKUP(A616,'model groups'!$A$3:$C$86,2,FALSE)</f>
        <v>not included</v>
      </c>
      <c r="C616" t="s">
        <v>1936</v>
      </c>
      <c r="D616" t="s">
        <v>1937</v>
      </c>
      <c r="E616" t="s">
        <v>1937</v>
      </c>
      <c r="G616" t="s">
        <v>241</v>
      </c>
      <c r="H616" t="s">
        <v>1881</v>
      </c>
      <c r="I616" t="s">
        <v>1933</v>
      </c>
      <c r="J616" t="s">
        <v>1934</v>
      </c>
      <c r="AR616">
        <v>0</v>
      </c>
      <c r="AS616" t="s">
        <v>2600</v>
      </c>
    </row>
    <row r="617" spans="1:45" x14ac:dyDescent="0.25">
      <c r="A617">
        <v>99</v>
      </c>
      <c r="B617" t="str">
        <f>VLOOKUP(A617,'model groups'!$A$3:$C$86,2,FALSE)</f>
        <v>not included</v>
      </c>
      <c r="C617" t="s">
        <v>1938</v>
      </c>
      <c r="D617" t="s">
        <v>1939</v>
      </c>
      <c r="E617" t="s">
        <v>1939</v>
      </c>
      <c r="G617" t="s">
        <v>241</v>
      </c>
      <c r="H617" t="s">
        <v>1881</v>
      </c>
      <c r="I617" t="s">
        <v>1933</v>
      </c>
      <c r="J617" t="s">
        <v>1934</v>
      </c>
      <c r="AR617">
        <v>0</v>
      </c>
      <c r="AS617" t="s">
        <v>2600</v>
      </c>
    </row>
    <row r="618" spans="1:45" x14ac:dyDescent="0.25">
      <c r="A618">
        <v>99</v>
      </c>
      <c r="B618" t="str">
        <f>VLOOKUP(A618,'model groups'!$A$3:$C$86,2,FALSE)</f>
        <v>not included</v>
      </c>
      <c r="C618" t="s">
        <v>1940</v>
      </c>
      <c r="D618" t="s">
        <v>1941</v>
      </c>
      <c r="E618" t="s">
        <v>1941</v>
      </c>
      <c r="G618" t="s">
        <v>241</v>
      </c>
      <c r="H618" t="s">
        <v>1881</v>
      </c>
      <c r="I618" t="s">
        <v>1933</v>
      </c>
      <c r="J618" t="s">
        <v>1934</v>
      </c>
      <c r="AR618">
        <v>0</v>
      </c>
      <c r="AS618" t="s">
        <v>2600</v>
      </c>
    </row>
    <row r="619" spans="1:45" x14ac:dyDescent="0.25">
      <c r="A619">
        <v>99</v>
      </c>
      <c r="B619" t="str">
        <f>VLOOKUP(A619,'model groups'!$A$3:$C$86,2,FALSE)</f>
        <v>not included</v>
      </c>
      <c r="C619" t="s">
        <v>1938</v>
      </c>
      <c r="D619" t="s">
        <v>1942</v>
      </c>
      <c r="E619" t="s">
        <v>1942</v>
      </c>
      <c r="G619" t="s">
        <v>241</v>
      </c>
      <c r="H619" t="s">
        <v>1881</v>
      </c>
      <c r="I619" t="s">
        <v>1933</v>
      </c>
      <c r="J619" t="s">
        <v>1934</v>
      </c>
      <c r="AR619">
        <v>0</v>
      </c>
      <c r="AS619" t="s">
        <v>2600</v>
      </c>
    </row>
    <row r="620" spans="1:45" x14ac:dyDescent="0.25">
      <c r="A620">
        <v>99</v>
      </c>
      <c r="B620" t="str">
        <f>VLOOKUP(A620,'model groups'!$A$3:$C$86,2,FALSE)</f>
        <v>not included</v>
      </c>
      <c r="D620" t="s">
        <v>1943</v>
      </c>
      <c r="E620" t="s">
        <v>1943</v>
      </c>
      <c r="G620" t="s">
        <v>241</v>
      </c>
      <c r="H620" t="s">
        <v>1881</v>
      </c>
      <c r="I620" t="s">
        <v>1933</v>
      </c>
      <c r="J620" t="s">
        <v>1944</v>
      </c>
      <c r="K620" t="s">
        <v>1945</v>
      </c>
      <c r="AR620">
        <v>0</v>
      </c>
      <c r="AS620" t="s">
        <v>2600</v>
      </c>
    </row>
    <row r="621" spans="1:45" x14ac:dyDescent="0.25">
      <c r="A621">
        <v>99</v>
      </c>
      <c r="B621" t="str">
        <f>VLOOKUP(A621,'model groups'!$A$3:$C$86,2,FALSE)</f>
        <v>not included</v>
      </c>
      <c r="C621" t="s">
        <v>1946</v>
      </c>
      <c r="D621" t="s">
        <v>1947</v>
      </c>
      <c r="E621" t="s">
        <v>1947</v>
      </c>
      <c r="G621" t="s">
        <v>241</v>
      </c>
      <c r="H621" t="s">
        <v>1881</v>
      </c>
      <c r="I621" t="s">
        <v>1933</v>
      </c>
      <c r="J621" t="s">
        <v>1944</v>
      </c>
      <c r="AR621">
        <v>0</v>
      </c>
      <c r="AS621" t="s">
        <v>2600</v>
      </c>
    </row>
    <row r="622" spans="1:45" x14ac:dyDescent="0.25">
      <c r="A622">
        <v>99</v>
      </c>
      <c r="B622" t="str">
        <f>VLOOKUP(A622,'model groups'!$A$3:$C$86,2,FALSE)</f>
        <v>not included</v>
      </c>
      <c r="C622" t="s">
        <v>379</v>
      </c>
      <c r="D622" t="s">
        <v>1948</v>
      </c>
      <c r="E622" t="s">
        <v>1948</v>
      </c>
      <c r="G622" t="s">
        <v>241</v>
      </c>
      <c r="H622" t="s">
        <v>1881</v>
      </c>
      <c r="I622" t="s">
        <v>1933</v>
      </c>
      <c r="J622" t="s">
        <v>1944</v>
      </c>
      <c r="AR622">
        <v>0</v>
      </c>
      <c r="AS622" t="s">
        <v>2600</v>
      </c>
    </row>
    <row r="623" spans="1:45" x14ac:dyDescent="0.25">
      <c r="A623">
        <v>99</v>
      </c>
      <c r="B623" t="str">
        <f>VLOOKUP(A623,'model groups'!$A$3:$C$86,2,FALSE)</f>
        <v>not included</v>
      </c>
      <c r="C623" t="s">
        <v>1949</v>
      </c>
      <c r="D623" t="s">
        <v>1950</v>
      </c>
      <c r="E623" t="s">
        <v>1950</v>
      </c>
      <c r="G623" t="s">
        <v>1758</v>
      </c>
      <c r="H623" t="s">
        <v>1951</v>
      </c>
      <c r="I623" t="s">
        <v>1952</v>
      </c>
      <c r="J623" t="s">
        <v>1953</v>
      </c>
      <c r="AR623">
        <v>0</v>
      </c>
      <c r="AS623" t="s">
        <v>2600</v>
      </c>
    </row>
    <row r="624" spans="1:45" x14ac:dyDescent="0.25">
      <c r="A624">
        <v>99</v>
      </c>
      <c r="B624" t="str">
        <f>VLOOKUP(A624,'model groups'!$A$3:$C$86,2,FALSE)</f>
        <v>not included</v>
      </c>
      <c r="C624" t="s">
        <v>1954</v>
      </c>
      <c r="D624" t="s">
        <v>1955</v>
      </c>
      <c r="E624" t="s">
        <v>1955</v>
      </c>
      <c r="G624" t="s">
        <v>241</v>
      </c>
      <c r="H624" t="s">
        <v>1956</v>
      </c>
      <c r="I624" t="s">
        <v>1957</v>
      </c>
      <c r="J624" t="s">
        <v>1958</v>
      </c>
      <c r="AR624">
        <v>0</v>
      </c>
      <c r="AS624" t="s">
        <v>2600</v>
      </c>
    </row>
    <row r="625" spans="1:45" x14ac:dyDescent="0.25">
      <c r="A625">
        <v>99</v>
      </c>
      <c r="B625" t="str">
        <f>VLOOKUP(A625,'model groups'!$A$3:$C$86,2,FALSE)</f>
        <v>not included</v>
      </c>
      <c r="C625" t="s">
        <v>1959</v>
      </c>
      <c r="D625" t="s">
        <v>1960</v>
      </c>
      <c r="E625" t="s">
        <v>1960</v>
      </c>
      <c r="G625" t="s">
        <v>241</v>
      </c>
      <c r="H625" t="s">
        <v>1956</v>
      </c>
      <c r="I625" t="s">
        <v>1957</v>
      </c>
      <c r="J625" t="s">
        <v>1958</v>
      </c>
      <c r="AR625">
        <v>0</v>
      </c>
      <c r="AS625" t="s">
        <v>2600</v>
      </c>
    </row>
    <row r="626" spans="1:45" x14ac:dyDescent="0.25">
      <c r="A626">
        <v>99</v>
      </c>
      <c r="B626" t="str">
        <f>VLOOKUP(A626,'model groups'!$A$3:$C$86,2,FALSE)</f>
        <v>not included</v>
      </c>
      <c r="D626" t="s">
        <v>1961</v>
      </c>
      <c r="E626" t="s">
        <v>1961</v>
      </c>
      <c r="G626" t="s">
        <v>241</v>
      </c>
      <c r="H626" t="s">
        <v>553</v>
      </c>
      <c r="I626" t="s">
        <v>1962</v>
      </c>
      <c r="J626" t="s">
        <v>1963</v>
      </c>
      <c r="K626" t="s">
        <v>1964</v>
      </c>
      <c r="AR626">
        <v>0</v>
      </c>
      <c r="AS626" t="s">
        <v>2600</v>
      </c>
    </row>
    <row r="627" spans="1:45" x14ac:dyDescent="0.25">
      <c r="A627">
        <v>99</v>
      </c>
      <c r="B627" t="str">
        <f>VLOOKUP(A627,'model groups'!$A$3:$C$86,2,FALSE)</f>
        <v>not included</v>
      </c>
      <c r="C627" t="s">
        <v>71</v>
      </c>
      <c r="D627" t="s">
        <v>1965</v>
      </c>
      <c r="E627" t="s">
        <v>1965</v>
      </c>
      <c r="G627" t="s">
        <v>195</v>
      </c>
      <c r="H627" t="s">
        <v>553</v>
      </c>
      <c r="I627" t="s">
        <v>1962</v>
      </c>
      <c r="J627" t="s">
        <v>1966</v>
      </c>
      <c r="K627" t="s">
        <v>1967</v>
      </c>
      <c r="L627" t="s">
        <v>71</v>
      </c>
      <c r="M627" t="s">
        <v>71</v>
      </c>
      <c r="N627" t="s">
        <v>71</v>
      </c>
      <c r="O627" t="s">
        <v>71</v>
      </c>
      <c r="P627" t="s">
        <v>71</v>
      </c>
      <c r="Q627" t="s">
        <v>71</v>
      </c>
      <c r="R627" t="s">
        <v>71</v>
      </c>
      <c r="S627" t="s">
        <v>71</v>
      </c>
      <c r="U627" t="s">
        <v>71</v>
      </c>
      <c r="V627" t="s">
        <v>71</v>
      </c>
      <c r="W627" t="s">
        <v>71</v>
      </c>
      <c r="X627" t="s">
        <v>71</v>
      </c>
      <c r="Y627" t="s">
        <v>71</v>
      </c>
      <c r="Z627" t="s">
        <v>71</v>
      </c>
      <c r="AA627" t="s">
        <v>71</v>
      </c>
      <c r="AB627" t="s">
        <v>71</v>
      </c>
      <c r="AC627" t="s">
        <v>71</v>
      </c>
      <c r="AD627" t="s">
        <v>71</v>
      </c>
      <c r="AE627" t="s">
        <v>71</v>
      </c>
      <c r="AF627" t="s">
        <v>71</v>
      </c>
      <c r="AG627">
        <v>0</v>
      </c>
      <c r="AH627">
        <v>0</v>
      </c>
      <c r="AI627">
        <v>0</v>
      </c>
      <c r="AJ627">
        <v>0</v>
      </c>
      <c r="AK627">
        <v>0</v>
      </c>
      <c r="AL627">
        <v>0</v>
      </c>
      <c r="AM627">
        <v>0</v>
      </c>
      <c r="AN627">
        <v>0</v>
      </c>
      <c r="AO627">
        <v>0</v>
      </c>
      <c r="AP627">
        <v>0</v>
      </c>
      <c r="AQ627">
        <v>1</v>
      </c>
      <c r="AR627">
        <v>0</v>
      </c>
      <c r="AS627" t="s">
        <v>2600</v>
      </c>
    </row>
    <row r="628" spans="1:45" x14ac:dyDescent="0.25">
      <c r="A628">
        <v>99</v>
      </c>
      <c r="B628" t="str">
        <f>VLOOKUP(A628,'model groups'!$A$3:$C$86,2,FALSE)</f>
        <v>not included</v>
      </c>
      <c r="D628" t="s">
        <v>1968</v>
      </c>
      <c r="E628" t="s">
        <v>1968</v>
      </c>
      <c r="G628" t="s">
        <v>241</v>
      </c>
      <c r="H628" t="s">
        <v>553</v>
      </c>
      <c r="I628" t="s">
        <v>1962</v>
      </c>
      <c r="J628" t="s">
        <v>1966</v>
      </c>
      <c r="K628" t="s">
        <v>1969</v>
      </c>
      <c r="AR628">
        <v>0</v>
      </c>
      <c r="AS628" t="s">
        <v>2600</v>
      </c>
    </row>
    <row r="629" spans="1:45" x14ac:dyDescent="0.25">
      <c r="A629">
        <v>99</v>
      </c>
      <c r="B629" t="str">
        <f>VLOOKUP(A629,'model groups'!$A$3:$C$86,2,FALSE)</f>
        <v>not included</v>
      </c>
      <c r="C629" t="s">
        <v>1970</v>
      </c>
      <c r="D629" t="s">
        <v>1971</v>
      </c>
      <c r="E629" t="s">
        <v>1971</v>
      </c>
      <c r="G629" t="s">
        <v>241</v>
      </c>
      <c r="H629" t="s">
        <v>553</v>
      </c>
      <c r="I629" t="s">
        <v>1962</v>
      </c>
      <c r="J629" t="s">
        <v>1966</v>
      </c>
      <c r="AR629">
        <v>0</v>
      </c>
      <c r="AS629" t="s">
        <v>2600</v>
      </c>
    </row>
    <row r="630" spans="1:45" x14ac:dyDescent="0.25">
      <c r="A630">
        <v>99</v>
      </c>
      <c r="B630" t="str">
        <f>VLOOKUP(A630,'model groups'!$A$3:$C$86,2,FALSE)</f>
        <v>not included</v>
      </c>
      <c r="C630" t="s">
        <v>1972</v>
      </c>
      <c r="D630" t="s">
        <v>1973</v>
      </c>
      <c r="E630" t="s">
        <v>1973</v>
      </c>
      <c r="G630" t="s">
        <v>241</v>
      </c>
      <c r="H630" t="s">
        <v>1138</v>
      </c>
      <c r="I630" t="s">
        <v>1974</v>
      </c>
      <c r="J630" t="s">
        <v>1975</v>
      </c>
      <c r="AR630">
        <v>0</v>
      </c>
      <c r="AS630" t="s">
        <v>2600</v>
      </c>
    </row>
    <row r="631" spans="1:45" x14ac:dyDescent="0.25">
      <c r="A631">
        <v>99</v>
      </c>
      <c r="B631" t="str">
        <f>VLOOKUP(A631,'model groups'!$A$3:$C$86,2,FALSE)</f>
        <v>not included</v>
      </c>
      <c r="C631" t="s">
        <v>1976</v>
      </c>
      <c r="D631" t="s">
        <v>1977</v>
      </c>
      <c r="E631" t="s">
        <v>1977</v>
      </c>
      <c r="G631" t="s">
        <v>241</v>
      </c>
      <c r="H631" t="s">
        <v>1978</v>
      </c>
      <c r="I631" t="s">
        <v>219</v>
      </c>
      <c r="J631" t="s">
        <v>1979</v>
      </c>
      <c r="AR631">
        <v>0</v>
      </c>
      <c r="AS631" t="s">
        <v>2600</v>
      </c>
    </row>
    <row r="632" spans="1:45" x14ac:dyDescent="0.25">
      <c r="A632">
        <v>99</v>
      </c>
      <c r="B632" t="str">
        <f>VLOOKUP(A632,'model groups'!$A$3:$C$86,2,FALSE)</f>
        <v>not included</v>
      </c>
      <c r="C632" t="s">
        <v>1980</v>
      </c>
      <c r="D632" t="s">
        <v>1981</v>
      </c>
      <c r="E632" t="s">
        <v>1981</v>
      </c>
      <c r="G632" t="s">
        <v>241</v>
      </c>
      <c r="H632" t="s">
        <v>1978</v>
      </c>
      <c r="I632" t="s">
        <v>219</v>
      </c>
      <c r="J632" t="s">
        <v>1982</v>
      </c>
      <c r="AR632">
        <v>0</v>
      </c>
      <c r="AS632" t="s">
        <v>2600</v>
      </c>
    </row>
    <row r="633" spans="1:45" x14ac:dyDescent="0.25">
      <c r="A633">
        <v>99</v>
      </c>
      <c r="B633" t="str">
        <f>VLOOKUP(A633,'model groups'!$A$3:$C$86,2,FALSE)</f>
        <v>not included</v>
      </c>
      <c r="C633" t="s">
        <v>1983</v>
      </c>
      <c r="D633" t="s">
        <v>1984</v>
      </c>
      <c r="E633" t="s">
        <v>1984</v>
      </c>
      <c r="G633" t="s">
        <v>241</v>
      </c>
      <c r="H633" t="s">
        <v>1828</v>
      </c>
      <c r="I633" t="s">
        <v>1985</v>
      </c>
      <c r="J633" t="s">
        <v>1986</v>
      </c>
      <c r="AR633">
        <v>0</v>
      </c>
      <c r="AS633" t="s">
        <v>2600</v>
      </c>
    </row>
    <row r="634" spans="1:45" x14ac:dyDescent="0.25">
      <c r="A634">
        <v>99</v>
      </c>
      <c r="B634" t="str">
        <f>VLOOKUP(A634,'model groups'!$A$3:$C$86,2,FALSE)</f>
        <v>not included</v>
      </c>
      <c r="C634" t="s">
        <v>1987</v>
      </c>
      <c r="D634" t="s">
        <v>1988</v>
      </c>
      <c r="E634" t="s">
        <v>1988</v>
      </c>
      <c r="G634" t="s">
        <v>241</v>
      </c>
      <c r="H634" t="s">
        <v>1828</v>
      </c>
      <c r="I634" t="s">
        <v>1985</v>
      </c>
      <c r="J634" t="s">
        <v>1986</v>
      </c>
      <c r="AR634">
        <v>0</v>
      </c>
      <c r="AS634" t="s">
        <v>2600</v>
      </c>
    </row>
    <row r="635" spans="1:45" x14ac:dyDescent="0.25">
      <c r="A635">
        <v>99</v>
      </c>
      <c r="B635" t="str">
        <f>VLOOKUP(A635,'model groups'!$A$3:$C$86,2,FALSE)</f>
        <v>not included</v>
      </c>
      <c r="C635" t="s">
        <v>1989</v>
      </c>
      <c r="D635" t="s">
        <v>1990</v>
      </c>
      <c r="E635" t="s">
        <v>1990</v>
      </c>
      <c r="G635" t="s">
        <v>241</v>
      </c>
      <c r="H635" t="s">
        <v>643</v>
      </c>
      <c r="I635" t="s">
        <v>437</v>
      </c>
      <c r="J635" t="s">
        <v>1991</v>
      </c>
      <c r="AR635">
        <v>0</v>
      </c>
      <c r="AS635" t="s">
        <v>2600</v>
      </c>
    </row>
    <row r="636" spans="1:45" x14ac:dyDescent="0.25">
      <c r="A636">
        <v>99</v>
      </c>
      <c r="B636" t="str">
        <f>VLOOKUP(A636,'model groups'!$A$3:$C$86,2,FALSE)</f>
        <v>not included</v>
      </c>
      <c r="C636" t="s">
        <v>1992</v>
      </c>
      <c r="D636" t="s">
        <v>1993</v>
      </c>
      <c r="E636" t="s">
        <v>1993</v>
      </c>
      <c r="G636" t="s">
        <v>241</v>
      </c>
      <c r="H636" t="s">
        <v>1319</v>
      </c>
      <c r="I636" t="s">
        <v>1994</v>
      </c>
      <c r="J636" t="s">
        <v>1995</v>
      </c>
      <c r="AR636">
        <v>0</v>
      </c>
      <c r="AS636" t="s">
        <v>2600</v>
      </c>
    </row>
    <row r="637" spans="1:45" x14ac:dyDescent="0.25">
      <c r="A637">
        <v>99</v>
      </c>
      <c r="B637" t="str">
        <f>VLOOKUP(A637,'model groups'!$A$3:$C$86,2,FALSE)</f>
        <v>not included</v>
      </c>
      <c r="C637" t="s">
        <v>1996</v>
      </c>
      <c r="D637" t="s">
        <v>1997</v>
      </c>
      <c r="E637" t="s">
        <v>1997</v>
      </c>
      <c r="G637" t="s">
        <v>241</v>
      </c>
      <c r="H637" t="s">
        <v>1998</v>
      </c>
      <c r="I637" t="s">
        <v>1999</v>
      </c>
      <c r="J637" t="s">
        <v>2000</v>
      </c>
      <c r="AR637">
        <v>0</v>
      </c>
      <c r="AS637" t="s">
        <v>2600</v>
      </c>
    </row>
    <row r="638" spans="1:45" x14ac:dyDescent="0.25">
      <c r="A638">
        <v>99</v>
      </c>
      <c r="B638" t="str">
        <f>VLOOKUP(A638,'model groups'!$A$3:$C$86,2,FALSE)</f>
        <v>not included</v>
      </c>
      <c r="D638" t="s">
        <v>2001</v>
      </c>
      <c r="E638" t="s">
        <v>2001</v>
      </c>
      <c r="G638" t="s">
        <v>241</v>
      </c>
      <c r="H638" t="s">
        <v>1998</v>
      </c>
      <c r="I638" t="s">
        <v>1999</v>
      </c>
      <c r="J638" t="s">
        <v>2002</v>
      </c>
      <c r="K638" t="s">
        <v>2003</v>
      </c>
      <c r="AR638">
        <v>0</v>
      </c>
      <c r="AS638" t="s">
        <v>2600</v>
      </c>
    </row>
    <row r="639" spans="1:45" x14ac:dyDescent="0.25">
      <c r="A639">
        <v>99</v>
      </c>
      <c r="B639" t="str">
        <f>VLOOKUP(A639,'model groups'!$A$3:$C$86,2,FALSE)</f>
        <v>not included</v>
      </c>
      <c r="D639" t="s">
        <v>2004</v>
      </c>
      <c r="E639" t="s">
        <v>2004</v>
      </c>
      <c r="G639" t="s">
        <v>241</v>
      </c>
      <c r="H639" t="s">
        <v>1998</v>
      </c>
      <c r="I639" t="s">
        <v>1999</v>
      </c>
      <c r="J639" t="s">
        <v>2002</v>
      </c>
      <c r="K639" t="s">
        <v>2005</v>
      </c>
      <c r="AR639">
        <v>0</v>
      </c>
      <c r="AS639" t="s">
        <v>2600</v>
      </c>
    </row>
    <row r="640" spans="1:45" x14ac:dyDescent="0.25">
      <c r="A640">
        <v>99</v>
      </c>
      <c r="B640" t="str">
        <f>VLOOKUP(A640,'model groups'!$A$3:$C$86,2,FALSE)</f>
        <v>not included</v>
      </c>
      <c r="C640" t="s">
        <v>2006</v>
      </c>
      <c r="D640" t="s">
        <v>2007</v>
      </c>
      <c r="E640" t="s">
        <v>2007</v>
      </c>
      <c r="G640" t="s">
        <v>241</v>
      </c>
      <c r="H640" t="s">
        <v>1998</v>
      </c>
      <c r="I640" t="s">
        <v>1999</v>
      </c>
      <c r="J640" t="s">
        <v>2002</v>
      </c>
      <c r="AR640">
        <v>0</v>
      </c>
      <c r="AS640" t="s">
        <v>2600</v>
      </c>
    </row>
    <row r="641" spans="1:45" x14ac:dyDescent="0.25">
      <c r="A641">
        <v>99</v>
      </c>
      <c r="B641" t="str">
        <f>VLOOKUP(A641,'model groups'!$A$3:$C$86,2,FALSE)</f>
        <v>not included</v>
      </c>
      <c r="C641" t="s">
        <v>2008</v>
      </c>
      <c r="D641" t="s">
        <v>2009</v>
      </c>
      <c r="E641" t="s">
        <v>2009</v>
      </c>
      <c r="G641" t="s">
        <v>241</v>
      </c>
      <c r="H641" t="s">
        <v>2010</v>
      </c>
      <c r="I641" t="s">
        <v>2011</v>
      </c>
      <c r="J641" t="s">
        <v>2012</v>
      </c>
      <c r="AR641">
        <v>0</v>
      </c>
      <c r="AS641" t="s">
        <v>2600</v>
      </c>
    </row>
    <row r="642" spans="1:45" x14ac:dyDescent="0.25">
      <c r="A642">
        <v>99</v>
      </c>
      <c r="B642" t="str">
        <f>VLOOKUP(A642,'model groups'!$A$3:$C$86,2,FALSE)</f>
        <v>not included</v>
      </c>
      <c r="C642" t="s">
        <v>379</v>
      </c>
      <c r="D642" t="s">
        <v>2013</v>
      </c>
      <c r="E642" t="s">
        <v>2013</v>
      </c>
      <c r="G642" t="s">
        <v>241</v>
      </c>
      <c r="H642" t="s">
        <v>994</v>
      </c>
      <c r="I642" t="s">
        <v>2014</v>
      </c>
      <c r="J642" t="s">
        <v>2015</v>
      </c>
      <c r="AR642">
        <v>0</v>
      </c>
      <c r="AS642" t="s">
        <v>2600</v>
      </c>
    </row>
    <row r="643" spans="1:45" x14ac:dyDescent="0.25">
      <c r="A643">
        <v>99</v>
      </c>
      <c r="B643" t="str">
        <f>VLOOKUP(A643,'model groups'!$A$3:$C$86,2,FALSE)</f>
        <v>not included</v>
      </c>
      <c r="C643" t="s">
        <v>2016</v>
      </c>
      <c r="D643" t="s">
        <v>2017</v>
      </c>
      <c r="E643" t="s">
        <v>2017</v>
      </c>
      <c r="G643" t="s">
        <v>241</v>
      </c>
      <c r="H643" t="s">
        <v>994</v>
      </c>
      <c r="I643" t="s">
        <v>2014</v>
      </c>
      <c r="J643" t="s">
        <v>2015</v>
      </c>
      <c r="AR643">
        <v>0</v>
      </c>
      <c r="AS643" t="s">
        <v>2600</v>
      </c>
    </row>
    <row r="644" spans="1:45" x14ac:dyDescent="0.25">
      <c r="A644">
        <v>99</v>
      </c>
      <c r="B644" t="str">
        <f>VLOOKUP(A644,'model groups'!$A$3:$C$86,2,FALSE)</f>
        <v>not included</v>
      </c>
      <c r="C644" t="s">
        <v>2018</v>
      </c>
      <c r="D644" t="s">
        <v>2019</v>
      </c>
      <c r="E644" t="s">
        <v>2019</v>
      </c>
      <c r="G644" t="s">
        <v>241</v>
      </c>
      <c r="H644" t="s">
        <v>994</v>
      </c>
      <c r="I644" t="s">
        <v>2014</v>
      </c>
      <c r="J644" t="s">
        <v>2015</v>
      </c>
      <c r="AR644">
        <v>0</v>
      </c>
      <c r="AS644" t="s">
        <v>2600</v>
      </c>
    </row>
    <row r="645" spans="1:45" x14ac:dyDescent="0.25">
      <c r="A645">
        <v>99</v>
      </c>
      <c r="B645" t="str">
        <f>VLOOKUP(A645,'model groups'!$A$3:$C$86,2,FALSE)</f>
        <v>not included</v>
      </c>
      <c r="C645" t="s">
        <v>2020</v>
      </c>
      <c r="D645" t="s">
        <v>2021</v>
      </c>
      <c r="E645" t="s">
        <v>2021</v>
      </c>
      <c r="G645" t="s">
        <v>241</v>
      </c>
      <c r="H645" t="s">
        <v>994</v>
      </c>
      <c r="I645" t="s">
        <v>2014</v>
      </c>
      <c r="J645" t="s">
        <v>2022</v>
      </c>
      <c r="AR645">
        <v>0</v>
      </c>
      <c r="AS645" t="s">
        <v>2600</v>
      </c>
    </row>
    <row r="646" spans="1:45" x14ac:dyDescent="0.25">
      <c r="A646">
        <v>99</v>
      </c>
      <c r="B646" t="str">
        <f>VLOOKUP(A646,'model groups'!$A$3:$C$86,2,FALSE)</f>
        <v>not included</v>
      </c>
      <c r="C646" t="s">
        <v>379</v>
      </c>
      <c r="D646" t="s">
        <v>2023</v>
      </c>
      <c r="E646" t="s">
        <v>2023</v>
      </c>
      <c r="G646" t="s">
        <v>241</v>
      </c>
      <c r="H646" t="s">
        <v>994</v>
      </c>
      <c r="I646" t="s">
        <v>2014</v>
      </c>
      <c r="J646" t="s">
        <v>2024</v>
      </c>
      <c r="AR646">
        <v>0</v>
      </c>
      <c r="AS646" t="s">
        <v>2600</v>
      </c>
    </row>
    <row r="647" spans="1:45" x14ac:dyDescent="0.25">
      <c r="A647">
        <v>99</v>
      </c>
      <c r="B647" t="str">
        <f>VLOOKUP(A647,'model groups'!$A$3:$C$86,2,FALSE)</f>
        <v>not included</v>
      </c>
      <c r="C647" t="s">
        <v>2025</v>
      </c>
      <c r="D647" t="s">
        <v>2026</v>
      </c>
      <c r="E647" t="s">
        <v>2026</v>
      </c>
      <c r="G647" t="s">
        <v>241</v>
      </c>
      <c r="H647" t="s">
        <v>994</v>
      </c>
      <c r="I647" t="s">
        <v>2014</v>
      </c>
      <c r="J647" t="s">
        <v>2024</v>
      </c>
      <c r="AR647">
        <v>0</v>
      </c>
      <c r="AS647" t="s">
        <v>2600</v>
      </c>
    </row>
    <row r="648" spans="1:45" x14ac:dyDescent="0.25">
      <c r="A648">
        <v>99</v>
      </c>
      <c r="B648" t="str">
        <f>VLOOKUP(A648,'model groups'!$A$3:$C$86,2,FALSE)</f>
        <v>not included</v>
      </c>
      <c r="C648" t="s">
        <v>2027</v>
      </c>
      <c r="D648" t="s">
        <v>2028</v>
      </c>
      <c r="E648" t="s">
        <v>2028</v>
      </c>
      <c r="G648" t="s">
        <v>241</v>
      </c>
      <c r="H648" t="s">
        <v>994</v>
      </c>
      <c r="I648" t="s">
        <v>2014</v>
      </c>
      <c r="J648" t="s">
        <v>2029</v>
      </c>
      <c r="AR648">
        <v>0</v>
      </c>
      <c r="AS648" t="s">
        <v>2600</v>
      </c>
    </row>
    <row r="649" spans="1:45" x14ac:dyDescent="0.25">
      <c r="A649">
        <v>99</v>
      </c>
      <c r="B649" t="str">
        <f>VLOOKUP(A649,'model groups'!$A$3:$C$86,2,FALSE)</f>
        <v>not included</v>
      </c>
      <c r="C649" t="s">
        <v>379</v>
      </c>
      <c r="D649" t="s">
        <v>2030</v>
      </c>
      <c r="E649" t="s">
        <v>2030</v>
      </c>
      <c r="G649" t="s">
        <v>241</v>
      </c>
      <c r="H649" t="s">
        <v>994</v>
      </c>
      <c r="I649" t="s">
        <v>2014</v>
      </c>
      <c r="J649" t="s">
        <v>2031</v>
      </c>
      <c r="AR649">
        <v>0</v>
      </c>
      <c r="AS649" t="s">
        <v>2600</v>
      </c>
    </row>
    <row r="650" spans="1:45" x14ac:dyDescent="0.25">
      <c r="A650">
        <v>99</v>
      </c>
      <c r="B650" t="str">
        <f>VLOOKUP(A650,'model groups'!$A$3:$C$86,2,FALSE)</f>
        <v>not included</v>
      </c>
      <c r="C650" t="s">
        <v>2032</v>
      </c>
      <c r="D650" t="s">
        <v>2033</v>
      </c>
      <c r="E650" t="s">
        <v>2033</v>
      </c>
      <c r="G650" t="s">
        <v>241</v>
      </c>
      <c r="H650" t="s">
        <v>994</v>
      </c>
      <c r="I650" t="s">
        <v>2014</v>
      </c>
      <c r="J650" t="s">
        <v>2031</v>
      </c>
      <c r="AR650">
        <v>0</v>
      </c>
      <c r="AS650" t="s">
        <v>2600</v>
      </c>
    </row>
    <row r="651" spans="1:45" x14ac:dyDescent="0.25">
      <c r="A651">
        <v>99</v>
      </c>
      <c r="B651" t="str">
        <f>VLOOKUP(A651,'model groups'!$A$3:$C$86,2,FALSE)</f>
        <v>not included</v>
      </c>
      <c r="C651" t="s">
        <v>2034</v>
      </c>
      <c r="D651" t="s">
        <v>2035</v>
      </c>
      <c r="E651" t="s">
        <v>2035</v>
      </c>
      <c r="G651" t="s">
        <v>241</v>
      </c>
      <c r="H651" t="s">
        <v>994</v>
      </c>
      <c r="I651" t="s">
        <v>2014</v>
      </c>
      <c r="J651" t="s">
        <v>2036</v>
      </c>
      <c r="AR651">
        <v>0</v>
      </c>
      <c r="AS651" t="s">
        <v>2600</v>
      </c>
    </row>
    <row r="652" spans="1:45" x14ac:dyDescent="0.25">
      <c r="A652">
        <v>99</v>
      </c>
      <c r="B652" t="str">
        <f>VLOOKUP(A652,'model groups'!$A$3:$C$86,2,FALSE)</f>
        <v>not included</v>
      </c>
      <c r="C652" t="s">
        <v>2037</v>
      </c>
      <c r="D652" t="s">
        <v>2038</v>
      </c>
      <c r="E652" t="s">
        <v>2038</v>
      </c>
      <c r="G652" t="s">
        <v>241</v>
      </c>
      <c r="H652" t="s">
        <v>994</v>
      </c>
      <c r="I652" t="s">
        <v>2014</v>
      </c>
      <c r="J652" t="s">
        <v>2039</v>
      </c>
      <c r="AR652">
        <v>0</v>
      </c>
      <c r="AS652" t="s">
        <v>2600</v>
      </c>
    </row>
    <row r="653" spans="1:45" x14ac:dyDescent="0.25">
      <c r="A653">
        <v>99</v>
      </c>
      <c r="B653" t="str">
        <f>VLOOKUP(A653,'model groups'!$A$3:$C$86,2,FALSE)</f>
        <v>not included</v>
      </c>
      <c r="C653" t="s">
        <v>2040</v>
      </c>
      <c r="D653" t="s">
        <v>2041</v>
      </c>
      <c r="E653" t="s">
        <v>2041</v>
      </c>
      <c r="G653" t="s">
        <v>1622</v>
      </c>
      <c r="H653" t="s">
        <v>2042</v>
      </c>
      <c r="I653" t="s">
        <v>2043</v>
      </c>
      <c r="J653" t="s">
        <v>2044</v>
      </c>
      <c r="AR653">
        <v>0</v>
      </c>
      <c r="AS653" t="s">
        <v>2600</v>
      </c>
    </row>
    <row r="654" spans="1:45" x14ac:dyDescent="0.25">
      <c r="A654">
        <v>99</v>
      </c>
      <c r="B654" t="str">
        <f>VLOOKUP(A654,'model groups'!$A$3:$C$86,2,FALSE)</f>
        <v>not included</v>
      </c>
      <c r="D654" t="s">
        <v>2045</v>
      </c>
      <c r="E654" t="s">
        <v>2045</v>
      </c>
      <c r="G654" t="s">
        <v>241</v>
      </c>
      <c r="H654" t="s">
        <v>379</v>
      </c>
      <c r="I654" t="s">
        <v>399</v>
      </c>
      <c r="J654" t="s">
        <v>400</v>
      </c>
      <c r="K654" t="s">
        <v>2046</v>
      </c>
      <c r="AR654">
        <v>0</v>
      </c>
      <c r="AS654" t="s">
        <v>2600</v>
      </c>
    </row>
    <row r="655" spans="1:45" x14ac:dyDescent="0.25">
      <c r="A655">
        <v>99</v>
      </c>
      <c r="B655" t="str">
        <f>VLOOKUP(A655,'model groups'!$A$3:$C$86,2,FALSE)</f>
        <v>not included</v>
      </c>
      <c r="D655" t="s">
        <v>2047</v>
      </c>
      <c r="E655" t="s">
        <v>2047</v>
      </c>
      <c r="G655" t="s">
        <v>241</v>
      </c>
      <c r="H655" t="s">
        <v>379</v>
      </c>
      <c r="I655" t="s">
        <v>399</v>
      </c>
      <c r="J655" t="s">
        <v>400</v>
      </c>
      <c r="K655" t="s">
        <v>2048</v>
      </c>
      <c r="AR655">
        <v>0</v>
      </c>
      <c r="AS655" t="s">
        <v>2600</v>
      </c>
    </row>
    <row r="656" spans="1:45" x14ac:dyDescent="0.25">
      <c r="A656">
        <v>99</v>
      </c>
      <c r="B656" t="str">
        <f>VLOOKUP(A656,'model groups'!$A$3:$C$86,2,FALSE)</f>
        <v>not included</v>
      </c>
      <c r="D656" t="s">
        <v>2049</v>
      </c>
      <c r="E656" t="s">
        <v>2049</v>
      </c>
      <c r="G656" t="s">
        <v>241</v>
      </c>
      <c r="H656" t="s">
        <v>379</v>
      </c>
      <c r="I656" t="s">
        <v>399</v>
      </c>
      <c r="J656" t="s">
        <v>400</v>
      </c>
      <c r="K656" t="s">
        <v>379</v>
      </c>
      <c r="AR656">
        <v>0</v>
      </c>
      <c r="AS656" t="s">
        <v>2600</v>
      </c>
    </row>
    <row r="657" spans="1:45" x14ac:dyDescent="0.25">
      <c r="A657">
        <v>99</v>
      </c>
      <c r="B657" t="str">
        <f>VLOOKUP(A657,'model groups'!$A$3:$C$86,2,FALSE)</f>
        <v>not included</v>
      </c>
      <c r="C657" t="s">
        <v>2050</v>
      </c>
      <c r="D657" t="s">
        <v>2051</v>
      </c>
      <c r="E657" t="s">
        <v>2051</v>
      </c>
      <c r="G657" t="s">
        <v>241</v>
      </c>
      <c r="H657" t="s">
        <v>379</v>
      </c>
      <c r="I657" t="s">
        <v>399</v>
      </c>
      <c r="J657" t="s">
        <v>400</v>
      </c>
      <c r="AR657">
        <v>0</v>
      </c>
      <c r="AS657" t="s">
        <v>2600</v>
      </c>
    </row>
    <row r="658" spans="1:45" x14ac:dyDescent="0.25">
      <c r="A658">
        <v>99</v>
      </c>
      <c r="B658" t="str">
        <f>VLOOKUP(A658,'model groups'!$A$3:$C$86,2,FALSE)</f>
        <v>not included</v>
      </c>
      <c r="C658" t="s">
        <v>379</v>
      </c>
      <c r="D658" t="s">
        <v>2052</v>
      </c>
      <c r="E658" t="s">
        <v>2052</v>
      </c>
      <c r="G658" t="s">
        <v>241</v>
      </c>
      <c r="H658" t="s">
        <v>379</v>
      </c>
      <c r="I658" t="s">
        <v>399</v>
      </c>
      <c r="J658" t="s">
        <v>379</v>
      </c>
      <c r="AR658">
        <v>0</v>
      </c>
      <c r="AS658" t="s">
        <v>2600</v>
      </c>
    </row>
    <row r="659" spans="1:45" x14ac:dyDescent="0.25">
      <c r="A659">
        <v>99</v>
      </c>
      <c r="B659" t="str">
        <f>VLOOKUP(A659,'model groups'!$A$3:$C$86,2,FALSE)</f>
        <v>not included</v>
      </c>
      <c r="C659" t="s">
        <v>2053</v>
      </c>
      <c r="D659" t="s">
        <v>2054</v>
      </c>
      <c r="E659" t="s">
        <v>2054</v>
      </c>
      <c r="G659" t="s">
        <v>241</v>
      </c>
      <c r="H659" t="s">
        <v>930</v>
      </c>
      <c r="I659" t="s">
        <v>2055</v>
      </c>
      <c r="J659" t="s">
        <v>2056</v>
      </c>
      <c r="AR659">
        <v>0</v>
      </c>
      <c r="AS659" t="s">
        <v>2600</v>
      </c>
    </row>
    <row r="660" spans="1:45" x14ac:dyDescent="0.25">
      <c r="A660">
        <v>99</v>
      </c>
      <c r="B660" t="str">
        <f>VLOOKUP(A660,'model groups'!$A$3:$C$86,2,FALSE)</f>
        <v>not included</v>
      </c>
      <c r="C660" t="s">
        <v>2057</v>
      </c>
      <c r="D660" t="s">
        <v>2058</v>
      </c>
      <c r="E660" t="s">
        <v>2058</v>
      </c>
      <c r="G660" t="s">
        <v>241</v>
      </c>
      <c r="H660" t="s">
        <v>994</v>
      </c>
      <c r="I660" t="s">
        <v>2059</v>
      </c>
      <c r="J660" t="s">
        <v>2060</v>
      </c>
      <c r="AR660">
        <v>0</v>
      </c>
      <c r="AS660" t="s">
        <v>2600</v>
      </c>
    </row>
    <row r="661" spans="1:45" x14ac:dyDescent="0.25">
      <c r="A661">
        <v>99</v>
      </c>
      <c r="B661" t="str">
        <f>VLOOKUP(A661,'model groups'!$A$3:$C$86,2,FALSE)</f>
        <v>not included</v>
      </c>
      <c r="C661" t="s">
        <v>2061</v>
      </c>
      <c r="D661" t="s">
        <v>2062</v>
      </c>
      <c r="E661" t="s">
        <v>2062</v>
      </c>
      <c r="G661" t="s">
        <v>241</v>
      </c>
      <c r="H661" t="s">
        <v>379</v>
      </c>
      <c r="I661" t="s">
        <v>2063</v>
      </c>
      <c r="J661" t="s">
        <v>2064</v>
      </c>
      <c r="AR661">
        <v>0</v>
      </c>
      <c r="AS661" t="s">
        <v>2600</v>
      </c>
    </row>
    <row r="662" spans="1:45" x14ac:dyDescent="0.25">
      <c r="A662">
        <v>99</v>
      </c>
      <c r="B662" t="str">
        <f>VLOOKUP(A662,'model groups'!$A$3:$C$86,2,FALSE)</f>
        <v>not included</v>
      </c>
      <c r="C662" t="s">
        <v>2065</v>
      </c>
      <c r="D662" t="s">
        <v>2066</v>
      </c>
      <c r="E662" t="s">
        <v>2066</v>
      </c>
      <c r="G662" t="s">
        <v>241</v>
      </c>
      <c r="H662" t="s">
        <v>379</v>
      </c>
      <c r="I662" t="s">
        <v>2063</v>
      </c>
      <c r="J662" t="s">
        <v>2064</v>
      </c>
      <c r="AR662">
        <v>0</v>
      </c>
      <c r="AS662" t="s">
        <v>2600</v>
      </c>
    </row>
    <row r="663" spans="1:45" x14ac:dyDescent="0.25">
      <c r="A663">
        <v>99</v>
      </c>
      <c r="B663" t="str">
        <f>VLOOKUP(A663,'model groups'!$A$3:$C$86,2,FALSE)</f>
        <v>not included</v>
      </c>
      <c r="C663" t="s">
        <v>2067</v>
      </c>
      <c r="D663" t="s">
        <v>2068</v>
      </c>
      <c r="E663" t="s">
        <v>2068</v>
      </c>
      <c r="G663" t="s">
        <v>1622</v>
      </c>
      <c r="H663" t="s">
        <v>2069</v>
      </c>
      <c r="I663" t="s">
        <v>2070</v>
      </c>
      <c r="J663" t="s">
        <v>2071</v>
      </c>
      <c r="AR663">
        <v>0</v>
      </c>
      <c r="AS663" t="s">
        <v>2600</v>
      </c>
    </row>
    <row r="664" spans="1:45" x14ac:dyDescent="0.25">
      <c r="A664">
        <v>99</v>
      </c>
      <c r="B664" t="str">
        <f>VLOOKUP(A664,'model groups'!$A$3:$C$86,2,FALSE)</f>
        <v>not included</v>
      </c>
      <c r="C664" t="s">
        <v>2072</v>
      </c>
      <c r="D664" t="s">
        <v>2073</v>
      </c>
      <c r="E664" t="s">
        <v>2073</v>
      </c>
      <c r="G664" t="s">
        <v>241</v>
      </c>
      <c r="H664" t="s">
        <v>196</v>
      </c>
      <c r="I664" t="s">
        <v>379</v>
      </c>
      <c r="J664" t="s">
        <v>2074</v>
      </c>
      <c r="AR664">
        <v>0</v>
      </c>
      <c r="AS664" t="s">
        <v>2600</v>
      </c>
    </row>
    <row r="665" spans="1:45" x14ac:dyDescent="0.25">
      <c r="A665">
        <v>99</v>
      </c>
      <c r="B665" t="str">
        <f>VLOOKUP(A665,'model groups'!$A$3:$C$86,2,FALSE)</f>
        <v>not included</v>
      </c>
      <c r="D665" t="s">
        <v>2075</v>
      </c>
      <c r="E665" t="s">
        <v>2075</v>
      </c>
      <c r="G665" t="s">
        <v>379</v>
      </c>
      <c r="H665" t="s">
        <v>379</v>
      </c>
      <c r="I665" t="s">
        <v>379</v>
      </c>
      <c r="J665" t="s">
        <v>379</v>
      </c>
      <c r="K665" t="s">
        <v>379</v>
      </c>
      <c r="AR665">
        <v>0</v>
      </c>
      <c r="AS665" t="s">
        <v>2600</v>
      </c>
    </row>
    <row r="666" spans="1:45" x14ac:dyDescent="0.25">
      <c r="A666">
        <v>99</v>
      </c>
      <c r="B666" t="str">
        <f>VLOOKUP(A666,'model groups'!$A$3:$C$86,2,FALSE)</f>
        <v>not included</v>
      </c>
      <c r="D666" t="s">
        <v>2076</v>
      </c>
      <c r="E666" t="s">
        <v>2076</v>
      </c>
      <c r="G666" t="s">
        <v>379</v>
      </c>
      <c r="H666" t="s">
        <v>379</v>
      </c>
      <c r="I666" t="s">
        <v>379</v>
      </c>
      <c r="J666" t="s">
        <v>379</v>
      </c>
      <c r="K666" t="s">
        <v>379</v>
      </c>
      <c r="AR666">
        <v>0</v>
      </c>
      <c r="AS666" t="s">
        <v>2600</v>
      </c>
    </row>
    <row r="667" spans="1:45" x14ac:dyDescent="0.25">
      <c r="A667">
        <v>99</v>
      </c>
      <c r="B667" t="str">
        <f>VLOOKUP(A667,'model groups'!$A$3:$C$86,2,FALSE)</f>
        <v>not included</v>
      </c>
      <c r="C667" t="s">
        <v>379</v>
      </c>
      <c r="D667" t="s">
        <v>2077</v>
      </c>
      <c r="E667" t="s">
        <v>2077</v>
      </c>
      <c r="G667" t="s">
        <v>379</v>
      </c>
      <c r="H667" t="s">
        <v>379</v>
      </c>
      <c r="I667" t="s">
        <v>379</v>
      </c>
      <c r="J667" t="s">
        <v>379</v>
      </c>
      <c r="AR667">
        <v>0</v>
      </c>
      <c r="AS667" t="s">
        <v>2600</v>
      </c>
    </row>
    <row r="668" spans="1:45" x14ac:dyDescent="0.25">
      <c r="A668">
        <v>99</v>
      </c>
      <c r="B668" t="str">
        <f>VLOOKUP(A668,'model groups'!$A$3:$C$86,2,FALSE)</f>
        <v>not included</v>
      </c>
      <c r="C668" t="s">
        <v>379</v>
      </c>
      <c r="D668" t="s">
        <v>2078</v>
      </c>
      <c r="E668" t="s">
        <v>2078</v>
      </c>
      <c r="G668" t="s">
        <v>379</v>
      </c>
      <c r="H668" t="s">
        <v>379</v>
      </c>
      <c r="I668" t="s">
        <v>379</v>
      </c>
      <c r="J668" t="s">
        <v>379</v>
      </c>
      <c r="AR668">
        <v>0</v>
      </c>
      <c r="AS668" t="s">
        <v>2600</v>
      </c>
    </row>
    <row r="669" spans="1:45" x14ac:dyDescent="0.25">
      <c r="A669">
        <v>99</v>
      </c>
      <c r="B669" t="str">
        <f>VLOOKUP(A669,'model groups'!$A$3:$C$86,2,FALSE)</f>
        <v>not included</v>
      </c>
      <c r="C669" t="s">
        <v>379</v>
      </c>
      <c r="D669" t="s">
        <v>2079</v>
      </c>
      <c r="E669" t="s">
        <v>2079</v>
      </c>
      <c r="G669" t="s">
        <v>379</v>
      </c>
      <c r="H669" t="s">
        <v>379</v>
      </c>
      <c r="I669" t="s">
        <v>379</v>
      </c>
      <c r="J669" t="s">
        <v>379</v>
      </c>
      <c r="AR669">
        <v>0</v>
      </c>
      <c r="AS669" t="s">
        <v>2600</v>
      </c>
    </row>
    <row r="670" spans="1:45" x14ac:dyDescent="0.25">
      <c r="A670">
        <v>99</v>
      </c>
      <c r="B670" t="str">
        <f>VLOOKUP(A670,'model groups'!$A$3:$C$86,2,FALSE)</f>
        <v>not included</v>
      </c>
      <c r="C670" t="s">
        <v>379</v>
      </c>
      <c r="D670" t="s">
        <v>2080</v>
      </c>
      <c r="E670" t="s">
        <v>2080</v>
      </c>
      <c r="G670" t="s">
        <v>379</v>
      </c>
      <c r="H670" t="s">
        <v>379</v>
      </c>
      <c r="I670" t="s">
        <v>379</v>
      </c>
      <c r="J670" t="s">
        <v>379</v>
      </c>
      <c r="AR670">
        <v>0</v>
      </c>
      <c r="AS670" t="s">
        <v>2600</v>
      </c>
    </row>
    <row r="671" spans="1:45" x14ac:dyDescent="0.25">
      <c r="A671">
        <v>99</v>
      </c>
      <c r="B671" t="str">
        <f>VLOOKUP(A671,'model groups'!$A$3:$C$86,2,FALSE)</f>
        <v>not included</v>
      </c>
      <c r="C671" t="s">
        <v>379</v>
      </c>
      <c r="D671" t="s">
        <v>2081</v>
      </c>
      <c r="E671" t="s">
        <v>2081</v>
      </c>
      <c r="G671" t="s">
        <v>379</v>
      </c>
      <c r="H671" t="s">
        <v>379</v>
      </c>
      <c r="I671" t="s">
        <v>379</v>
      </c>
      <c r="J671" t="s">
        <v>379</v>
      </c>
      <c r="AR671">
        <v>0</v>
      </c>
      <c r="AS671" t="s">
        <v>2600</v>
      </c>
    </row>
    <row r="672" spans="1:45" x14ac:dyDescent="0.25">
      <c r="A672">
        <v>99</v>
      </c>
      <c r="B672" t="str">
        <f>VLOOKUP(A672,'model groups'!$A$3:$C$86,2,FALSE)</f>
        <v>not included</v>
      </c>
      <c r="C672" t="s">
        <v>379</v>
      </c>
      <c r="D672" t="s">
        <v>2082</v>
      </c>
      <c r="E672" t="s">
        <v>2082</v>
      </c>
      <c r="G672" t="s">
        <v>379</v>
      </c>
      <c r="H672" t="s">
        <v>379</v>
      </c>
      <c r="I672" t="s">
        <v>379</v>
      </c>
      <c r="J672" t="s">
        <v>379</v>
      </c>
      <c r="AR672">
        <v>0</v>
      </c>
      <c r="AS672" t="s">
        <v>2600</v>
      </c>
    </row>
    <row r="673" spans="1:45" x14ac:dyDescent="0.25">
      <c r="A673">
        <v>99</v>
      </c>
      <c r="B673" t="str">
        <f>VLOOKUP(A673,'model groups'!$A$3:$C$86,2,FALSE)</f>
        <v>not included</v>
      </c>
      <c r="C673" t="s">
        <v>379</v>
      </c>
      <c r="D673" t="s">
        <v>2083</v>
      </c>
      <c r="E673" t="s">
        <v>2083</v>
      </c>
      <c r="G673" t="s">
        <v>379</v>
      </c>
      <c r="H673" t="s">
        <v>379</v>
      </c>
      <c r="I673" t="s">
        <v>379</v>
      </c>
      <c r="J673" t="s">
        <v>379</v>
      </c>
      <c r="AR673">
        <v>0</v>
      </c>
      <c r="AS673" t="s">
        <v>2600</v>
      </c>
    </row>
    <row r="674" spans="1:45" x14ac:dyDescent="0.25">
      <c r="A674">
        <v>99</v>
      </c>
      <c r="B674" t="str">
        <f>VLOOKUP(A674,'model groups'!$A$3:$C$86,2,FALSE)</f>
        <v>not included</v>
      </c>
      <c r="C674" t="s">
        <v>379</v>
      </c>
      <c r="D674" t="s">
        <v>2084</v>
      </c>
      <c r="E674" t="s">
        <v>2084</v>
      </c>
      <c r="G674" t="s">
        <v>379</v>
      </c>
      <c r="H674" t="s">
        <v>379</v>
      </c>
      <c r="I674" t="s">
        <v>379</v>
      </c>
      <c r="J674" t="s">
        <v>379</v>
      </c>
      <c r="AR674">
        <v>0</v>
      </c>
      <c r="AS674" t="s">
        <v>2600</v>
      </c>
    </row>
    <row r="675" spans="1:45" x14ac:dyDescent="0.25">
      <c r="A675">
        <v>99</v>
      </c>
      <c r="B675" t="str">
        <f>VLOOKUP(A675,'model groups'!$A$3:$C$86,2,FALSE)</f>
        <v>not included</v>
      </c>
      <c r="C675" t="s">
        <v>379</v>
      </c>
      <c r="D675" t="s">
        <v>2085</v>
      </c>
      <c r="E675" t="s">
        <v>2085</v>
      </c>
      <c r="G675" t="s">
        <v>379</v>
      </c>
      <c r="H675" t="s">
        <v>379</v>
      </c>
      <c r="I675" t="s">
        <v>379</v>
      </c>
      <c r="J675" t="s">
        <v>379</v>
      </c>
      <c r="AR675">
        <v>0</v>
      </c>
      <c r="AS675" t="s">
        <v>2600</v>
      </c>
    </row>
    <row r="676" spans="1:45" x14ac:dyDescent="0.25">
      <c r="A676">
        <v>99</v>
      </c>
      <c r="B676" t="str">
        <f>VLOOKUP(A676,'model groups'!$A$3:$C$86,2,FALSE)</f>
        <v>not included</v>
      </c>
      <c r="C676" t="s">
        <v>379</v>
      </c>
      <c r="D676" t="s">
        <v>2086</v>
      </c>
      <c r="E676" t="s">
        <v>2086</v>
      </c>
      <c r="G676" t="s">
        <v>379</v>
      </c>
      <c r="H676" t="s">
        <v>379</v>
      </c>
      <c r="I676" t="s">
        <v>379</v>
      </c>
      <c r="J676" t="s">
        <v>379</v>
      </c>
      <c r="AR676">
        <v>0</v>
      </c>
      <c r="AS676" t="s">
        <v>2600</v>
      </c>
    </row>
    <row r="677" spans="1:45" x14ac:dyDescent="0.25">
      <c r="A677">
        <v>99</v>
      </c>
      <c r="B677" t="str">
        <f>VLOOKUP(A677,'model groups'!$A$3:$C$86,2,FALSE)</f>
        <v>not included</v>
      </c>
      <c r="C677" t="s">
        <v>379</v>
      </c>
      <c r="D677" t="s">
        <v>2087</v>
      </c>
      <c r="E677" t="s">
        <v>2087</v>
      </c>
      <c r="G677" t="s">
        <v>379</v>
      </c>
      <c r="H677" t="s">
        <v>379</v>
      </c>
      <c r="I677" t="s">
        <v>379</v>
      </c>
      <c r="J677" t="s">
        <v>379</v>
      </c>
      <c r="AR677">
        <v>0</v>
      </c>
      <c r="AS677" t="s">
        <v>2600</v>
      </c>
    </row>
    <row r="678" spans="1:45" x14ac:dyDescent="0.25">
      <c r="A678">
        <v>99</v>
      </c>
      <c r="B678" t="str">
        <f>VLOOKUP(A678,'model groups'!$A$3:$C$86,2,FALSE)</f>
        <v>not included</v>
      </c>
      <c r="C678" t="s">
        <v>379</v>
      </c>
      <c r="D678" t="s">
        <v>2088</v>
      </c>
      <c r="E678" t="s">
        <v>2088</v>
      </c>
      <c r="G678" t="s">
        <v>379</v>
      </c>
      <c r="H678" t="s">
        <v>379</v>
      </c>
      <c r="I678" t="s">
        <v>379</v>
      </c>
      <c r="J678" t="s">
        <v>379</v>
      </c>
      <c r="AR678">
        <v>0</v>
      </c>
      <c r="AS678" t="s">
        <v>2600</v>
      </c>
    </row>
    <row r="679" spans="1:45" x14ac:dyDescent="0.25">
      <c r="A679">
        <v>99</v>
      </c>
      <c r="B679" t="str">
        <f>VLOOKUP(A679,'model groups'!$A$3:$C$86,2,FALSE)</f>
        <v>not included</v>
      </c>
      <c r="C679" t="s">
        <v>379</v>
      </c>
      <c r="D679" t="s">
        <v>2089</v>
      </c>
      <c r="E679" t="s">
        <v>2089</v>
      </c>
      <c r="G679" t="s">
        <v>379</v>
      </c>
      <c r="H679" t="s">
        <v>379</v>
      </c>
      <c r="I679" t="s">
        <v>379</v>
      </c>
      <c r="J679" t="s">
        <v>379</v>
      </c>
      <c r="AR679">
        <v>0</v>
      </c>
      <c r="AS679" t="s">
        <v>2600</v>
      </c>
    </row>
    <row r="680" spans="1:45" x14ac:dyDescent="0.25">
      <c r="A680">
        <v>99</v>
      </c>
      <c r="B680" t="str">
        <f>VLOOKUP(A680,'model groups'!$A$3:$C$86,2,FALSE)</f>
        <v>not included</v>
      </c>
      <c r="C680" t="s">
        <v>379</v>
      </c>
      <c r="D680" t="s">
        <v>2090</v>
      </c>
      <c r="E680" t="s">
        <v>2090</v>
      </c>
      <c r="G680" t="s">
        <v>379</v>
      </c>
      <c r="H680" t="s">
        <v>379</v>
      </c>
      <c r="I680" t="s">
        <v>379</v>
      </c>
      <c r="J680" t="s">
        <v>379</v>
      </c>
      <c r="AR680">
        <v>0</v>
      </c>
      <c r="AS680" t="s">
        <v>2600</v>
      </c>
    </row>
    <row r="681" spans="1:45" x14ac:dyDescent="0.25">
      <c r="A681">
        <v>99</v>
      </c>
      <c r="B681" t="str">
        <f>VLOOKUP(A681,'model groups'!$A$3:$C$86,2,FALSE)</f>
        <v>not included</v>
      </c>
      <c r="C681" t="s">
        <v>379</v>
      </c>
      <c r="D681" t="s">
        <v>2091</v>
      </c>
      <c r="E681" t="s">
        <v>2091</v>
      </c>
      <c r="G681" t="s">
        <v>379</v>
      </c>
      <c r="H681" t="s">
        <v>379</v>
      </c>
      <c r="I681" t="s">
        <v>379</v>
      </c>
      <c r="J681" t="s">
        <v>379</v>
      </c>
      <c r="AR681">
        <v>0</v>
      </c>
      <c r="AS681" t="s">
        <v>2600</v>
      </c>
    </row>
    <row r="682" spans="1:45" x14ac:dyDescent="0.25">
      <c r="A682">
        <v>99</v>
      </c>
      <c r="B682" t="str">
        <f>VLOOKUP(A682,'model groups'!$A$3:$C$86,2,FALSE)</f>
        <v>not included</v>
      </c>
      <c r="C682" t="s">
        <v>379</v>
      </c>
      <c r="D682" t="s">
        <v>2092</v>
      </c>
      <c r="E682" t="s">
        <v>2092</v>
      </c>
      <c r="G682" t="s">
        <v>379</v>
      </c>
      <c r="H682" t="s">
        <v>379</v>
      </c>
      <c r="I682" t="s">
        <v>379</v>
      </c>
      <c r="J682" t="s">
        <v>379</v>
      </c>
      <c r="AR682">
        <v>0</v>
      </c>
      <c r="AS682" t="s">
        <v>2600</v>
      </c>
    </row>
    <row r="683" spans="1:45" x14ac:dyDescent="0.25">
      <c r="A683">
        <v>99</v>
      </c>
      <c r="B683" t="str">
        <f>VLOOKUP(A683,'model groups'!$A$3:$C$86,2,FALSE)</f>
        <v>not included</v>
      </c>
      <c r="C683" t="s">
        <v>379</v>
      </c>
      <c r="D683" t="s">
        <v>2093</v>
      </c>
      <c r="E683" t="s">
        <v>2093</v>
      </c>
      <c r="G683" t="s">
        <v>379</v>
      </c>
      <c r="H683" t="s">
        <v>379</v>
      </c>
      <c r="I683" t="s">
        <v>379</v>
      </c>
      <c r="J683" t="s">
        <v>379</v>
      </c>
      <c r="AR683">
        <v>0</v>
      </c>
      <c r="AS683" t="s">
        <v>2600</v>
      </c>
    </row>
    <row r="684" spans="1:45" x14ac:dyDescent="0.25">
      <c r="A684">
        <v>99</v>
      </c>
      <c r="B684" t="str">
        <f>VLOOKUP(A684,'model groups'!$A$3:$C$86,2,FALSE)</f>
        <v>not included</v>
      </c>
      <c r="C684" t="s">
        <v>379</v>
      </c>
      <c r="D684" t="s">
        <v>2094</v>
      </c>
      <c r="E684" t="s">
        <v>2094</v>
      </c>
      <c r="G684" t="s">
        <v>379</v>
      </c>
      <c r="H684" t="s">
        <v>379</v>
      </c>
      <c r="I684" t="s">
        <v>379</v>
      </c>
      <c r="J684" t="s">
        <v>379</v>
      </c>
      <c r="AR684">
        <v>0</v>
      </c>
      <c r="AS684" t="s">
        <v>2600</v>
      </c>
    </row>
    <row r="685" spans="1:45" x14ac:dyDescent="0.25">
      <c r="A685">
        <v>99</v>
      </c>
      <c r="B685" t="str">
        <f>VLOOKUP(A685,'model groups'!$A$3:$C$86,2,FALSE)</f>
        <v>not included</v>
      </c>
      <c r="C685" t="s">
        <v>379</v>
      </c>
      <c r="D685" t="s">
        <v>2095</v>
      </c>
      <c r="E685" t="s">
        <v>2095</v>
      </c>
      <c r="G685" t="s">
        <v>379</v>
      </c>
      <c r="H685" t="s">
        <v>379</v>
      </c>
      <c r="I685" t="s">
        <v>379</v>
      </c>
      <c r="J685" t="s">
        <v>379</v>
      </c>
      <c r="AR685">
        <v>0</v>
      </c>
      <c r="AS685" t="s">
        <v>2600</v>
      </c>
    </row>
    <row r="686" spans="1:45" x14ac:dyDescent="0.25">
      <c r="A686">
        <v>99</v>
      </c>
      <c r="B686" t="str">
        <f>VLOOKUP(A686,'model groups'!$A$3:$C$86,2,FALSE)</f>
        <v>not included</v>
      </c>
      <c r="C686" t="s">
        <v>379</v>
      </c>
      <c r="D686" t="s">
        <v>2096</v>
      </c>
      <c r="E686" t="s">
        <v>2096</v>
      </c>
      <c r="G686" t="s">
        <v>379</v>
      </c>
      <c r="H686" t="s">
        <v>379</v>
      </c>
      <c r="I686" t="s">
        <v>379</v>
      </c>
      <c r="J686" t="s">
        <v>379</v>
      </c>
      <c r="AR686">
        <v>0</v>
      </c>
      <c r="AS686" t="s">
        <v>2600</v>
      </c>
    </row>
    <row r="687" spans="1:45" x14ac:dyDescent="0.25">
      <c r="A687">
        <v>99</v>
      </c>
      <c r="B687" t="str">
        <f>VLOOKUP(A687,'model groups'!$A$3:$C$86,2,FALSE)</f>
        <v>not included</v>
      </c>
      <c r="C687" t="s">
        <v>379</v>
      </c>
      <c r="D687" t="s">
        <v>2097</v>
      </c>
      <c r="E687" t="s">
        <v>2097</v>
      </c>
      <c r="G687" t="s">
        <v>379</v>
      </c>
      <c r="H687" t="s">
        <v>379</v>
      </c>
      <c r="I687" t="s">
        <v>379</v>
      </c>
      <c r="J687" t="s">
        <v>379</v>
      </c>
      <c r="AR687">
        <v>0</v>
      </c>
      <c r="AS687" t="s">
        <v>2600</v>
      </c>
    </row>
    <row r="688" spans="1:45" x14ac:dyDescent="0.25">
      <c r="A688">
        <v>99</v>
      </c>
      <c r="B688" t="str">
        <f>VLOOKUP(A688,'model groups'!$A$3:$C$86,2,FALSE)</f>
        <v>not included</v>
      </c>
      <c r="D688" t="s">
        <v>2098</v>
      </c>
      <c r="E688" t="s">
        <v>2098</v>
      </c>
      <c r="G688" t="s">
        <v>45</v>
      </c>
      <c r="H688" t="s">
        <v>2099</v>
      </c>
      <c r="I688" t="s">
        <v>2100</v>
      </c>
      <c r="J688" t="s">
        <v>2101</v>
      </c>
      <c r="K688" t="s">
        <v>379</v>
      </c>
      <c r="AR688">
        <v>0</v>
      </c>
      <c r="AS688" t="s">
        <v>2600</v>
      </c>
    </row>
    <row r="689" spans="1:45" x14ac:dyDescent="0.25">
      <c r="A689">
        <v>99</v>
      </c>
      <c r="B689" t="str">
        <f>VLOOKUP(A689,'model groups'!$A$3:$C$86,2,FALSE)</f>
        <v>not included</v>
      </c>
      <c r="C689" t="s">
        <v>2102</v>
      </c>
      <c r="D689" t="s">
        <v>2103</v>
      </c>
      <c r="E689" t="s">
        <v>2103</v>
      </c>
      <c r="G689" t="s">
        <v>45</v>
      </c>
      <c r="H689" t="s">
        <v>2099</v>
      </c>
      <c r="I689" t="s">
        <v>2100</v>
      </c>
      <c r="J689" t="s">
        <v>2101</v>
      </c>
      <c r="AR689">
        <v>0</v>
      </c>
      <c r="AS689" t="s">
        <v>2600</v>
      </c>
    </row>
    <row r="690" spans="1:45" x14ac:dyDescent="0.25">
      <c r="A690">
        <v>99</v>
      </c>
      <c r="B690" t="str">
        <f>VLOOKUP(A690,'model groups'!$A$3:$C$86,2,FALSE)</f>
        <v>not included</v>
      </c>
      <c r="C690" t="s">
        <v>2104</v>
      </c>
      <c r="D690" t="s">
        <v>2105</v>
      </c>
      <c r="E690" t="s">
        <v>2105</v>
      </c>
      <c r="G690" t="s">
        <v>241</v>
      </c>
      <c r="H690" t="s">
        <v>982</v>
      </c>
      <c r="I690" t="s">
        <v>2106</v>
      </c>
      <c r="J690" t="s">
        <v>2107</v>
      </c>
      <c r="AR690">
        <v>0</v>
      </c>
      <c r="AS690" t="s">
        <v>2600</v>
      </c>
    </row>
    <row r="691" spans="1:45" x14ac:dyDescent="0.25">
      <c r="A691">
        <v>99</v>
      </c>
      <c r="B691" t="str">
        <f>VLOOKUP(A691,'model groups'!$A$3:$C$86,2,FALSE)</f>
        <v>not included</v>
      </c>
      <c r="D691" t="s">
        <v>2108</v>
      </c>
      <c r="E691" t="s">
        <v>2108</v>
      </c>
      <c r="G691" t="s">
        <v>241</v>
      </c>
      <c r="H691" t="s">
        <v>233</v>
      </c>
      <c r="I691" t="s">
        <v>2109</v>
      </c>
      <c r="J691" t="s">
        <v>2110</v>
      </c>
      <c r="K691" t="s">
        <v>2111</v>
      </c>
      <c r="AR691">
        <v>0</v>
      </c>
      <c r="AS691" t="s">
        <v>2600</v>
      </c>
    </row>
    <row r="692" spans="1:45" x14ac:dyDescent="0.25">
      <c r="A692">
        <v>99</v>
      </c>
      <c r="B692" t="str">
        <f>VLOOKUP(A692,'model groups'!$A$3:$C$86,2,FALSE)</f>
        <v>not included</v>
      </c>
      <c r="C692" t="s">
        <v>379</v>
      </c>
      <c r="D692" t="s">
        <v>2112</v>
      </c>
      <c r="E692" t="s">
        <v>2112</v>
      </c>
      <c r="G692" t="s">
        <v>241</v>
      </c>
      <c r="H692" t="s">
        <v>1956</v>
      </c>
      <c r="I692" t="s">
        <v>2113</v>
      </c>
      <c r="J692" t="s">
        <v>2114</v>
      </c>
      <c r="AR692">
        <v>0</v>
      </c>
      <c r="AS692" t="s">
        <v>2600</v>
      </c>
    </row>
    <row r="693" spans="1:45" x14ac:dyDescent="0.25">
      <c r="A693">
        <v>99</v>
      </c>
      <c r="B693" t="str">
        <f>VLOOKUP(A693,'model groups'!$A$3:$C$86,2,FALSE)</f>
        <v>not included</v>
      </c>
      <c r="C693" t="s">
        <v>2115</v>
      </c>
      <c r="D693" t="s">
        <v>2116</v>
      </c>
      <c r="E693" t="s">
        <v>2116</v>
      </c>
      <c r="G693" t="s">
        <v>1470</v>
      </c>
      <c r="H693" t="s">
        <v>2117</v>
      </c>
      <c r="I693" t="s">
        <v>2118</v>
      </c>
      <c r="J693" t="s">
        <v>2119</v>
      </c>
      <c r="T693" t="str">
        <f>IF(OR(AK693=1,AN693=1),"reef","no")</f>
        <v>no</v>
      </c>
      <c r="U693" s="1"/>
      <c r="V693" s="1"/>
      <c r="W693" s="1"/>
      <c r="X693" s="1"/>
      <c r="Y693" s="1"/>
      <c r="Z693" s="1"/>
      <c r="AA693" s="1"/>
      <c r="AB693" s="1"/>
      <c r="AG693">
        <v>1</v>
      </c>
      <c r="AH693">
        <v>0</v>
      </c>
      <c r="AI693">
        <v>0</v>
      </c>
      <c r="AJ693">
        <v>0</v>
      </c>
      <c r="AK693">
        <v>0</v>
      </c>
      <c r="AL693">
        <v>0</v>
      </c>
      <c r="AM693">
        <v>0</v>
      </c>
      <c r="AN693">
        <v>0</v>
      </c>
      <c r="AO693">
        <v>0</v>
      </c>
      <c r="AP693">
        <v>0</v>
      </c>
      <c r="AQ693">
        <v>0</v>
      </c>
      <c r="AR693">
        <v>0</v>
      </c>
      <c r="AS693" t="s">
        <v>2600</v>
      </c>
    </row>
    <row r="694" spans="1:45" x14ac:dyDescent="0.25">
      <c r="A694">
        <v>99</v>
      </c>
      <c r="B694" t="str">
        <f>VLOOKUP(A694,'model groups'!$A$3:$C$86,2,FALSE)</f>
        <v>not included</v>
      </c>
      <c r="C694" t="s">
        <v>2120</v>
      </c>
      <c r="D694" t="s">
        <v>2121</v>
      </c>
      <c r="E694" t="s">
        <v>2121</v>
      </c>
      <c r="G694" t="s">
        <v>45</v>
      </c>
      <c r="H694" t="s">
        <v>1743</v>
      </c>
      <c r="I694" t="s">
        <v>2122</v>
      </c>
      <c r="J694" t="s">
        <v>2123</v>
      </c>
      <c r="AR694">
        <v>0</v>
      </c>
      <c r="AS694" t="s">
        <v>2600</v>
      </c>
    </row>
    <row r="695" spans="1:45" x14ac:dyDescent="0.25">
      <c r="A695">
        <v>99</v>
      </c>
      <c r="B695" t="str">
        <f>VLOOKUP(A695,'model groups'!$A$3:$C$86,2,FALSE)</f>
        <v>not included</v>
      </c>
      <c r="C695" t="s">
        <v>379</v>
      </c>
      <c r="D695" t="s">
        <v>2124</v>
      </c>
      <c r="E695" t="s">
        <v>2124</v>
      </c>
      <c r="G695" t="s">
        <v>241</v>
      </c>
      <c r="H695" t="s">
        <v>1060</v>
      </c>
      <c r="I695" t="s">
        <v>1061</v>
      </c>
      <c r="J695" t="s">
        <v>2125</v>
      </c>
      <c r="AR695">
        <v>0</v>
      </c>
      <c r="AS695" t="s">
        <v>2600</v>
      </c>
    </row>
    <row r="696" spans="1:45" x14ac:dyDescent="0.25">
      <c r="A696">
        <v>99</v>
      </c>
      <c r="B696" t="str">
        <f>VLOOKUP(A696,'model groups'!$A$3:$C$86,2,FALSE)</f>
        <v>not included</v>
      </c>
      <c r="C696" t="s">
        <v>2126</v>
      </c>
      <c r="D696" t="s">
        <v>2127</v>
      </c>
      <c r="E696" t="s">
        <v>2127</v>
      </c>
      <c r="G696" t="s">
        <v>1480</v>
      </c>
      <c r="H696" t="s">
        <v>1481</v>
      </c>
      <c r="I696" t="s">
        <v>2128</v>
      </c>
      <c r="J696" t="s">
        <v>2129</v>
      </c>
      <c r="AR696">
        <v>0</v>
      </c>
      <c r="AS696" t="s">
        <v>2600</v>
      </c>
    </row>
    <row r="697" spans="1:45" x14ac:dyDescent="0.25">
      <c r="A697">
        <v>99</v>
      </c>
      <c r="B697" t="str">
        <f>VLOOKUP(A697,'model groups'!$A$3:$C$86,2,FALSE)</f>
        <v>not included</v>
      </c>
      <c r="C697" t="s">
        <v>2130</v>
      </c>
      <c r="D697" t="s">
        <v>2131</v>
      </c>
      <c r="E697" t="s">
        <v>2131</v>
      </c>
      <c r="G697" t="s">
        <v>1480</v>
      </c>
      <c r="H697" t="s">
        <v>1481</v>
      </c>
      <c r="I697" t="s">
        <v>2128</v>
      </c>
      <c r="J697" t="s">
        <v>2132</v>
      </c>
      <c r="AR697">
        <v>0</v>
      </c>
      <c r="AS697" t="s">
        <v>2600</v>
      </c>
    </row>
    <row r="698" spans="1:45" x14ac:dyDescent="0.25">
      <c r="A698">
        <v>99</v>
      </c>
      <c r="B698" t="str">
        <f>VLOOKUP(A698,'model groups'!$A$3:$C$86,2,FALSE)</f>
        <v>not included</v>
      </c>
      <c r="C698" t="s">
        <v>2133</v>
      </c>
      <c r="D698" t="s">
        <v>2134</v>
      </c>
      <c r="E698" t="s">
        <v>2134</v>
      </c>
      <c r="G698" t="s">
        <v>241</v>
      </c>
      <c r="H698" t="s">
        <v>196</v>
      </c>
      <c r="I698" t="s">
        <v>2135</v>
      </c>
      <c r="J698" t="s">
        <v>2136</v>
      </c>
      <c r="AR698">
        <v>0</v>
      </c>
      <c r="AS698" t="s">
        <v>2600</v>
      </c>
    </row>
    <row r="699" spans="1:45" x14ac:dyDescent="0.25">
      <c r="A699">
        <v>99</v>
      </c>
      <c r="B699" t="str">
        <f>VLOOKUP(A699,'model groups'!$A$3:$C$86,2,FALSE)</f>
        <v>not included</v>
      </c>
      <c r="C699" t="s">
        <v>2137</v>
      </c>
      <c r="D699" t="s">
        <v>2138</v>
      </c>
      <c r="E699" t="s">
        <v>2138</v>
      </c>
      <c r="G699" t="s">
        <v>241</v>
      </c>
      <c r="H699" t="s">
        <v>1881</v>
      </c>
      <c r="I699" t="s">
        <v>2139</v>
      </c>
      <c r="J699" t="s">
        <v>2140</v>
      </c>
      <c r="AR699">
        <v>0</v>
      </c>
      <c r="AS699" t="s">
        <v>2600</v>
      </c>
    </row>
    <row r="700" spans="1:45" x14ac:dyDescent="0.25">
      <c r="A700">
        <v>99</v>
      </c>
      <c r="B700" t="str">
        <f>VLOOKUP(A700,'model groups'!$A$3:$C$86,2,FALSE)</f>
        <v>not included</v>
      </c>
      <c r="C700" t="s">
        <v>2141</v>
      </c>
      <c r="D700" t="s">
        <v>2142</v>
      </c>
      <c r="E700" t="s">
        <v>2142</v>
      </c>
      <c r="G700" t="s">
        <v>241</v>
      </c>
      <c r="H700" t="s">
        <v>1881</v>
      </c>
      <c r="I700" t="s">
        <v>2139</v>
      </c>
      <c r="J700" t="s">
        <v>2143</v>
      </c>
      <c r="AR700">
        <v>0</v>
      </c>
      <c r="AS700" t="s">
        <v>2600</v>
      </c>
    </row>
    <row r="701" spans="1:45" x14ac:dyDescent="0.25">
      <c r="A701">
        <v>99</v>
      </c>
      <c r="B701" t="str">
        <f>VLOOKUP(A701,'model groups'!$A$3:$C$86,2,FALSE)</f>
        <v>not included</v>
      </c>
      <c r="C701" t="s">
        <v>2144</v>
      </c>
      <c r="D701" t="s">
        <v>2145</v>
      </c>
      <c r="E701" t="s">
        <v>2145</v>
      </c>
      <c r="G701" t="s">
        <v>241</v>
      </c>
      <c r="H701" t="s">
        <v>1881</v>
      </c>
      <c r="I701" t="s">
        <v>2139</v>
      </c>
      <c r="J701" t="s">
        <v>2143</v>
      </c>
      <c r="AR701">
        <v>0</v>
      </c>
      <c r="AS701" t="s">
        <v>2600</v>
      </c>
    </row>
    <row r="702" spans="1:45" x14ac:dyDescent="0.25">
      <c r="A702">
        <v>99</v>
      </c>
      <c r="B702" t="str">
        <f>VLOOKUP(A702,'model groups'!$A$3:$C$86,2,FALSE)</f>
        <v>not included</v>
      </c>
      <c r="C702" t="s">
        <v>2146</v>
      </c>
      <c r="D702" t="s">
        <v>2147</v>
      </c>
      <c r="E702" t="s">
        <v>2147</v>
      </c>
      <c r="G702" t="s">
        <v>241</v>
      </c>
      <c r="H702" t="s">
        <v>1881</v>
      </c>
      <c r="I702" t="s">
        <v>2139</v>
      </c>
      <c r="J702" t="s">
        <v>2148</v>
      </c>
      <c r="AR702">
        <v>0</v>
      </c>
      <c r="AS702" t="s">
        <v>2600</v>
      </c>
    </row>
    <row r="703" spans="1:45" x14ac:dyDescent="0.25">
      <c r="A703">
        <v>99</v>
      </c>
      <c r="B703" t="str">
        <f>VLOOKUP(A703,'model groups'!$A$3:$C$86,2,FALSE)</f>
        <v>not included</v>
      </c>
      <c r="C703" t="s">
        <v>2149</v>
      </c>
      <c r="D703" t="s">
        <v>2150</v>
      </c>
      <c r="E703" t="s">
        <v>2150</v>
      </c>
      <c r="G703" t="s">
        <v>241</v>
      </c>
      <c r="H703" t="s">
        <v>1881</v>
      </c>
      <c r="I703" t="s">
        <v>2139</v>
      </c>
      <c r="J703" t="s">
        <v>2151</v>
      </c>
      <c r="AR703">
        <v>0</v>
      </c>
      <c r="AS703" t="s">
        <v>2600</v>
      </c>
    </row>
    <row r="704" spans="1:45" x14ac:dyDescent="0.25">
      <c r="A704">
        <v>99</v>
      </c>
      <c r="B704" t="str">
        <f>VLOOKUP(A704,'model groups'!$A$3:$C$86,2,FALSE)</f>
        <v>not included</v>
      </c>
      <c r="C704" t="s">
        <v>2152</v>
      </c>
      <c r="D704" t="s">
        <v>2153</v>
      </c>
      <c r="E704" t="s">
        <v>2153</v>
      </c>
      <c r="G704" t="s">
        <v>241</v>
      </c>
      <c r="H704" t="s">
        <v>470</v>
      </c>
      <c r="I704" t="s">
        <v>2154</v>
      </c>
      <c r="J704" t="s">
        <v>2155</v>
      </c>
      <c r="AR704">
        <v>0</v>
      </c>
      <c r="AS704" t="s">
        <v>2600</v>
      </c>
    </row>
    <row r="705" spans="1:45" x14ac:dyDescent="0.25">
      <c r="A705">
        <v>99</v>
      </c>
      <c r="B705" t="str">
        <f>VLOOKUP(A705,'model groups'!$A$3:$C$86,2,FALSE)</f>
        <v>not included</v>
      </c>
      <c r="D705" t="s">
        <v>2156</v>
      </c>
      <c r="E705" t="s">
        <v>2156</v>
      </c>
      <c r="G705" t="s">
        <v>241</v>
      </c>
      <c r="H705" t="s">
        <v>379</v>
      </c>
      <c r="I705" t="s">
        <v>2157</v>
      </c>
      <c r="J705" t="s">
        <v>2158</v>
      </c>
      <c r="K705" t="s">
        <v>2159</v>
      </c>
      <c r="AR705">
        <v>0</v>
      </c>
      <c r="AS705" t="s">
        <v>2600</v>
      </c>
    </row>
    <row r="706" spans="1:45" x14ac:dyDescent="0.25">
      <c r="A706">
        <v>99</v>
      </c>
      <c r="B706" t="str">
        <f>VLOOKUP(A706,'model groups'!$A$3:$C$86,2,FALSE)</f>
        <v>not included</v>
      </c>
      <c r="C706" t="s">
        <v>2160</v>
      </c>
      <c r="D706" t="s">
        <v>2161</v>
      </c>
      <c r="E706" t="s">
        <v>2161</v>
      </c>
      <c r="G706" t="s">
        <v>241</v>
      </c>
      <c r="H706" t="s">
        <v>379</v>
      </c>
      <c r="I706" t="s">
        <v>2157</v>
      </c>
      <c r="J706" t="s">
        <v>2158</v>
      </c>
      <c r="AR706">
        <v>0</v>
      </c>
      <c r="AS706" t="s">
        <v>2600</v>
      </c>
    </row>
    <row r="707" spans="1:45" x14ac:dyDescent="0.25">
      <c r="A707">
        <v>99</v>
      </c>
      <c r="B707" t="str">
        <f>VLOOKUP(A707,'model groups'!$A$3:$C$86,2,FALSE)</f>
        <v>not included</v>
      </c>
      <c r="D707" t="s">
        <v>2162</v>
      </c>
      <c r="E707" t="s">
        <v>2162</v>
      </c>
      <c r="G707" t="s">
        <v>45</v>
      </c>
      <c r="H707" t="s">
        <v>2163</v>
      </c>
      <c r="I707" t="s">
        <v>2164</v>
      </c>
      <c r="J707" t="s">
        <v>379</v>
      </c>
      <c r="K707" t="s">
        <v>379</v>
      </c>
      <c r="AR707">
        <v>0</v>
      </c>
      <c r="AS707" t="s">
        <v>2600</v>
      </c>
    </row>
    <row r="708" spans="1:45" x14ac:dyDescent="0.25">
      <c r="A708">
        <v>99</v>
      </c>
      <c r="B708" t="str">
        <f>VLOOKUP(A708,'model groups'!$A$3:$C$86,2,FALSE)</f>
        <v>not included</v>
      </c>
      <c r="C708" t="s">
        <v>2165</v>
      </c>
      <c r="D708" t="s">
        <v>2166</v>
      </c>
      <c r="E708" t="s">
        <v>2166</v>
      </c>
      <c r="G708" t="s">
        <v>45</v>
      </c>
      <c r="H708" t="s">
        <v>2163</v>
      </c>
      <c r="I708" t="s">
        <v>2164</v>
      </c>
      <c r="J708" t="s">
        <v>2167</v>
      </c>
      <c r="AR708">
        <v>0</v>
      </c>
      <c r="AS708" t="s">
        <v>2600</v>
      </c>
    </row>
    <row r="709" spans="1:45" x14ac:dyDescent="0.25">
      <c r="A709">
        <v>99</v>
      </c>
      <c r="B709" t="str">
        <f>VLOOKUP(A709,'model groups'!$A$3:$C$86,2,FALSE)</f>
        <v>not included</v>
      </c>
      <c r="C709" t="s">
        <v>2168</v>
      </c>
      <c r="D709" t="s">
        <v>2169</v>
      </c>
      <c r="E709" t="s">
        <v>2169</v>
      </c>
      <c r="G709" t="s">
        <v>241</v>
      </c>
      <c r="H709" t="s">
        <v>379</v>
      </c>
      <c r="I709" t="s">
        <v>559</v>
      </c>
      <c r="J709" t="s">
        <v>2170</v>
      </c>
      <c r="AR709">
        <v>0</v>
      </c>
      <c r="AS709" t="s">
        <v>2600</v>
      </c>
    </row>
    <row r="710" spans="1:45" x14ac:dyDescent="0.25">
      <c r="A710">
        <v>99</v>
      </c>
      <c r="B710" t="str">
        <f>VLOOKUP(A710,'model groups'!$A$3:$C$86,2,FALSE)</f>
        <v>not included</v>
      </c>
      <c r="C710" t="s">
        <v>2171</v>
      </c>
      <c r="D710" t="s">
        <v>2172</v>
      </c>
      <c r="E710" t="s">
        <v>2172</v>
      </c>
      <c r="G710" t="s">
        <v>241</v>
      </c>
      <c r="H710" t="s">
        <v>379</v>
      </c>
      <c r="I710" t="s">
        <v>559</v>
      </c>
      <c r="J710" t="s">
        <v>953</v>
      </c>
      <c r="AR710">
        <v>0</v>
      </c>
      <c r="AS710" t="s">
        <v>2600</v>
      </c>
    </row>
    <row r="711" spans="1:45" x14ac:dyDescent="0.25">
      <c r="A711">
        <v>99</v>
      </c>
      <c r="B711" t="str">
        <f>VLOOKUP(A711,'model groups'!$A$3:$C$86,2,FALSE)</f>
        <v>not included</v>
      </c>
      <c r="C711" t="s">
        <v>2173</v>
      </c>
      <c r="D711" t="s">
        <v>2174</v>
      </c>
      <c r="E711" t="s">
        <v>2174</v>
      </c>
      <c r="G711" t="s">
        <v>241</v>
      </c>
      <c r="H711" t="s">
        <v>379</v>
      </c>
      <c r="I711" t="s">
        <v>559</v>
      </c>
      <c r="J711" t="s">
        <v>2175</v>
      </c>
      <c r="AR711">
        <v>0</v>
      </c>
      <c r="AS711" t="s">
        <v>2600</v>
      </c>
    </row>
    <row r="712" spans="1:45" x14ac:dyDescent="0.25">
      <c r="A712">
        <v>99</v>
      </c>
      <c r="B712" t="str">
        <f>VLOOKUP(A712,'model groups'!$A$3:$C$86,2,FALSE)</f>
        <v>not included</v>
      </c>
      <c r="C712" t="s">
        <v>2176</v>
      </c>
      <c r="D712" t="s">
        <v>2177</v>
      </c>
      <c r="E712" t="s">
        <v>2177</v>
      </c>
      <c r="G712" t="s">
        <v>241</v>
      </c>
      <c r="H712" t="s">
        <v>379</v>
      </c>
      <c r="I712" t="s">
        <v>559</v>
      </c>
      <c r="J712" t="s">
        <v>2178</v>
      </c>
      <c r="AR712">
        <v>0</v>
      </c>
      <c r="AS712" t="s">
        <v>2600</v>
      </c>
    </row>
    <row r="713" spans="1:45" x14ac:dyDescent="0.25">
      <c r="A713">
        <v>99</v>
      </c>
      <c r="B713" t="str">
        <f>VLOOKUP(A713,'model groups'!$A$3:$C$86,2,FALSE)</f>
        <v>not included</v>
      </c>
      <c r="C713" t="s">
        <v>2179</v>
      </c>
      <c r="D713" t="s">
        <v>2180</v>
      </c>
      <c r="E713" t="s">
        <v>2180</v>
      </c>
      <c r="G713" t="s">
        <v>241</v>
      </c>
      <c r="H713" t="s">
        <v>196</v>
      </c>
      <c r="I713" t="s">
        <v>408</v>
      </c>
      <c r="J713" t="s">
        <v>409</v>
      </c>
      <c r="AR713">
        <v>0</v>
      </c>
      <c r="AS713" t="s">
        <v>2600</v>
      </c>
    </row>
    <row r="714" spans="1:45" x14ac:dyDescent="0.25">
      <c r="A714">
        <v>99</v>
      </c>
      <c r="B714" t="str">
        <f>VLOOKUP(A714,'model groups'!$A$3:$C$86,2,FALSE)</f>
        <v>not included</v>
      </c>
      <c r="C714" t="s">
        <v>2181</v>
      </c>
      <c r="D714" t="s">
        <v>2182</v>
      </c>
      <c r="E714" t="s">
        <v>2182</v>
      </c>
      <c r="G714" t="s">
        <v>241</v>
      </c>
      <c r="H714" t="s">
        <v>196</v>
      </c>
      <c r="I714" t="s">
        <v>337</v>
      </c>
      <c r="J714" t="s">
        <v>2183</v>
      </c>
      <c r="AR714">
        <v>0</v>
      </c>
      <c r="AS714" t="s">
        <v>2600</v>
      </c>
    </row>
    <row r="715" spans="1:45" x14ac:dyDescent="0.25">
      <c r="A715">
        <v>99</v>
      </c>
      <c r="B715" t="str">
        <f>VLOOKUP(A715,'model groups'!$A$3:$C$86,2,FALSE)</f>
        <v>not included</v>
      </c>
      <c r="C715" t="s">
        <v>2184</v>
      </c>
      <c r="D715" t="s">
        <v>2185</v>
      </c>
      <c r="E715" t="s">
        <v>2185</v>
      </c>
      <c r="G715" t="s">
        <v>241</v>
      </c>
      <c r="H715" t="s">
        <v>538</v>
      </c>
      <c r="I715" t="s">
        <v>2186</v>
      </c>
      <c r="J715" t="s">
        <v>2187</v>
      </c>
      <c r="AR715">
        <v>0</v>
      </c>
      <c r="AS715" t="s">
        <v>2600</v>
      </c>
    </row>
    <row r="716" spans="1:45" x14ac:dyDescent="0.25">
      <c r="A716">
        <v>99</v>
      </c>
      <c r="B716" t="str">
        <f>VLOOKUP(A716,'model groups'!$A$3:$C$86,2,FALSE)</f>
        <v>not included</v>
      </c>
      <c r="C716" t="s">
        <v>2188</v>
      </c>
      <c r="D716" t="s">
        <v>2189</v>
      </c>
      <c r="E716" t="s">
        <v>2189</v>
      </c>
      <c r="G716" t="s">
        <v>241</v>
      </c>
      <c r="H716" t="s">
        <v>982</v>
      </c>
      <c r="I716" t="s">
        <v>2190</v>
      </c>
      <c r="J716" t="s">
        <v>2191</v>
      </c>
      <c r="AR716">
        <v>0</v>
      </c>
      <c r="AS716" t="s">
        <v>2600</v>
      </c>
    </row>
    <row r="717" spans="1:45" x14ac:dyDescent="0.25">
      <c r="A717">
        <v>99</v>
      </c>
      <c r="B717" t="str">
        <f>VLOOKUP(A717,'model groups'!$A$3:$C$86,2,FALSE)</f>
        <v>not included</v>
      </c>
      <c r="D717" t="s">
        <v>2192</v>
      </c>
      <c r="E717" t="s">
        <v>2192</v>
      </c>
      <c r="G717" t="s">
        <v>241</v>
      </c>
      <c r="H717" t="s">
        <v>2193</v>
      </c>
      <c r="I717" t="s">
        <v>2194</v>
      </c>
      <c r="J717" t="s">
        <v>2195</v>
      </c>
      <c r="K717" t="s">
        <v>379</v>
      </c>
      <c r="AR717">
        <v>0</v>
      </c>
      <c r="AS717" t="s">
        <v>2600</v>
      </c>
    </row>
    <row r="718" spans="1:45" x14ac:dyDescent="0.25">
      <c r="A718">
        <v>99</v>
      </c>
      <c r="B718" t="str">
        <f>VLOOKUP(A718,'model groups'!$A$3:$C$86,2,FALSE)</f>
        <v>not included</v>
      </c>
      <c r="C718" t="s">
        <v>2196</v>
      </c>
      <c r="D718" t="s">
        <v>2197</v>
      </c>
      <c r="E718" t="s">
        <v>2197</v>
      </c>
      <c r="G718" t="s">
        <v>241</v>
      </c>
      <c r="H718" t="s">
        <v>233</v>
      </c>
      <c r="I718" t="s">
        <v>2198</v>
      </c>
      <c r="J718" t="s">
        <v>2199</v>
      </c>
      <c r="AR718">
        <v>0</v>
      </c>
      <c r="AS718" t="s">
        <v>2600</v>
      </c>
    </row>
    <row r="719" spans="1:45" x14ac:dyDescent="0.25">
      <c r="A719">
        <v>99</v>
      </c>
      <c r="B719" t="str">
        <f>VLOOKUP(A719,'model groups'!$A$3:$C$86,2,FALSE)</f>
        <v>not included</v>
      </c>
      <c r="C719" t="s">
        <v>2200</v>
      </c>
      <c r="D719" t="s">
        <v>2201</v>
      </c>
      <c r="E719" t="s">
        <v>2201</v>
      </c>
      <c r="G719" t="s">
        <v>241</v>
      </c>
      <c r="H719" t="s">
        <v>2202</v>
      </c>
      <c r="I719" t="s">
        <v>1178</v>
      </c>
      <c r="J719" t="s">
        <v>2203</v>
      </c>
      <c r="AR719">
        <v>0</v>
      </c>
      <c r="AS719" t="s">
        <v>2600</v>
      </c>
    </row>
    <row r="720" spans="1:45" x14ac:dyDescent="0.25">
      <c r="A720">
        <v>99</v>
      </c>
      <c r="B720" t="str">
        <f>VLOOKUP(A720,'model groups'!$A$3:$C$86,2,FALSE)</f>
        <v>not included</v>
      </c>
      <c r="D720" t="s">
        <v>2204</v>
      </c>
      <c r="E720" t="s">
        <v>2204</v>
      </c>
      <c r="G720" t="s">
        <v>45</v>
      </c>
      <c r="H720" t="s">
        <v>115</v>
      </c>
      <c r="I720" t="s">
        <v>2205</v>
      </c>
      <c r="J720" t="s">
        <v>2206</v>
      </c>
      <c r="K720" t="s">
        <v>2207</v>
      </c>
      <c r="AR720">
        <v>0</v>
      </c>
      <c r="AS720" t="s">
        <v>2600</v>
      </c>
    </row>
    <row r="721" spans="1:45" x14ac:dyDescent="0.25">
      <c r="A721">
        <v>99</v>
      </c>
      <c r="B721" t="str">
        <f>VLOOKUP(A721,'model groups'!$A$3:$C$86,2,FALSE)</f>
        <v>not included</v>
      </c>
      <c r="D721" t="s">
        <v>2208</v>
      </c>
      <c r="E721" t="s">
        <v>2209</v>
      </c>
      <c r="G721" t="s">
        <v>1480</v>
      </c>
      <c r="H721" t="s">
        <v>1481</v>
      </c>
      <c r="T721" t="str">
        <f>IF(OR(AK721=1,AN721=1),"reef","no")</f>
        <v>no</v>
      </c>
      <c r="U721" s="1"/>
      <c r="V721" s="1"/>
      <c r="W721" s="1"/>
      <c r="X721" s="1"/>
      <c r="Y721" s="1"/>
      <c r="Z721" s="1"/>
      <c r="AA721" s="1"/>
      <c r="AB721" s="1"/>
      <c r="AG721">
        <v>0</v>
      </c>
      <c r="AH721">
        <v>0</v>
      </c>
      <c r="AI721">
        <v>0</v>
      </c>
      <c r="AJ721">
        <v>0</v>
      </c>
      <c r="AK721">
        <v>0</v>
      </c>
      <c r="AL721">
        <v>0</v>
      </c>
      <c r="AM721">
        <v>1</v>
      </c>
      <c r="AN721">
        <v>0</v>
      </c>
      <c r="AO721">
        <v>0</v>
      </c>
      <c r="AP721">
        <v>0</v>
      </c>
      <c r="AQ721">
        <v>0</v>
      </c>
      <c r="AR721">
        <v>0</v>
      </c>
      <c r="AS721" t="s">
        <v>2600</v>
      </c>
    </row>
    <row r="722" spans="1:45" x14ac:dyDescent="0.25">
      <c r="A722">
        <v>99</v>
      </c>
      <c r="B722" t="str">
        <f>VLOOKUP(A722,'model groups'!$A$3:$C$86,2,FALSE)</f>
        <v>not included</v>
      </c>
      <c r="D722" t="s">
        <v>2210</v>
      </c>
      <c r="E722" t="s">
        <v>2210</v>
      </c>
      <c r="T722" t="str">
        <f>IF(OR(AK722=1,AN722=1),"reef","no")</f>
        <v>reef</v>
      </c>
      <c r="U722" s="1"/>
      <c r="V722" s="1"/>
      <c r="W722" s="1"/>
      <c r="X722" s="1"/>
      <c r="Y722" s="1"/>
      <c r="Z722" s="1"/>
      <c r="AA722" s="1"/>
      <c r="AB722" s="1"/>
      <c r="AG722">
        <v>0</v>
      </c>
      <c r="AH722">
        <v>0</v>
      </c>
      <c r="AI722">
        <v>0</v>
      </c>
      <c r="AJ722">
        <v>0</v>
      </c>
      <c r="AK722">
        <v>0</v>
      </c>
      <c r="AL722">
        <v>0</v>
      </c>
      <c r="AM722">
        <v>0</v>
      </c>
      <c r="AN722">
        <v>1</v>
      </c>
      <c r="AO722">
        <v>0</v>
      </c>
      <c r="AP722">
        <v>0</v>
      </c>
      <c r="AQ722">
        <v>0</v>
      </c>
      <c r="AR722">
        <v>0</v>
      </c>
      <c r="AS722" t="s">
        <v>2600</v>
      </c>
    </row>
    <row r="723" spans="1:45" x14ac:dyDescent="0.25">
      <c r="A723">
        <v>99</v>
      </c>
      <c r="B723" t="str">
        <f>VLOOKUP(A723,'model groups'!$A$3:$C$86,2,FALSE)</f>
        <v>not included</v>
      </c>
      <c r="E723" t="s">
        <v>2211</v>
      </c>
      <c r="T723" t="str">
        <f>IF(OR(AK723=1,AN723=1),"reef","no")</f>
        <v>no</v>
      </c>
      <c r="U723" s="1"/>
      <c r="V723" s="1"/>
      <c r="W723" s="1"/>
      <c r="X723" s="1"/>
      <c r="Y723" s="1"/>
      <c r="Z723" s="1"/>
      <c r="AA723" s="1"/>
      <c r="AB723" s="1"/>
      <c r="AG723">
        <v>1</v>
      </c>
      <c r="AH723">
        <v>0</v>
      </c>
      <c r="AI723">
        <v>0</v>
      </c>
      <c r="AJ723">
        <v>0</v>
      </c>
      <c r="AK723">
        <v>0</v>
      </c>
      <c r="AL723">
        <v>0</v>
      </c>
      <c r="AM723">
        <v>0</v>
      </c>
      <c r="AN723">
        <v>0</v>
      </c>
      <c r="AO723">
        <v>0</v>
      </c>
      <c r="AP723">
        <v>0</v>
      </c>
      <c r="AQ723">
        <v>0</v>
      </c>
      <c r="AR723">
        <v>0</v>
      </c>
      <c r="AS723" t="s">
        <v>2600</v>
      </c>
    </row>
  </sheetData>
  <sortState xmlns:xlrd2="http://schemas.microsoft.com/office/spreadsheetml/2017/richdata2" ref="A2:AQ723">
    <sortCondition ref="A1:A723"/>
  </sortState>
  <conditionalFormatting sqref="A2:A723">
    <cfRule type="cellIs" dxfId="1" priority="1" operator="equal">
      <formula>0</formula>
    </cfRule>
  </conditionalFormatting>
  <conditionalFormatting sqref="AG2:AQ382 AR19:AR132 AQ180:AQ430 AR311:AR537">
    <cfRule type="cellIs" dxfId="0" priority="4" operator="equal">
      <formula>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85"/>
  <sheetViews>
    <sheetView workbookViewId="0">
      <selection activeCell="O1" sqref="O1:X27"/>
    </sheetView>
  </sheetViews>
  <sheetFormatPr defaultColWidth="9.140625" defaultRowHeight="15" x14ac:dyDescent="0.25"/>
  <cols>
    <col min="1" max="1" width="9.140625" style="2"/>
    <col min="2" max="2" width="28.85546875" style="2" bestFit="1" customWidth="1"/>
    <col min="3" max="6" width="9.140625" style="2"/>
    <col min="7" max="7" width="17.28515625" style="2" bestFit="1" customWidth="1"/>
    <col min="8" max="9" width="9.140625" style="2"/>
    <col min="10" max="10" width="42.42578125" style="2" bestFit="1" customWidth="1"/>
    <col min="11" max="16384" width="9.140625" style="2"/>
  </cols>
  <sheetData>
    <row r="1" spans="1:28" x14ac:dyDescent="0.25">
      <c r="A1" s="2" t="s">
        <v>2212</v>
      </c>
      <c r="B1" s="2" t="s">
        <v>2213</v>
      </c>
      <c r="C1" s="6" t="s">
        <v>2214</v>
      </c>
      <c r="D1" s="6" t="s">
        <v>2215</v>
      </c>
      <c r="E1" s="6" t="s">
        <v>5</v>
      </c>
      <c r="F1" s="9" t="s">
        <v>2584</v>
      </c>
      <c r="G1" s="11" t="s">
        <v>2585</v>
      </c>
      <c r="I1" s="6" t="s">
        <v>2216</v>
      </c>
      <c r="N1" s="6"/>
      <c r="O1" s="12" t="s">
        <v>2601</v>
      </c>
      <c r="P1" s="2" t="s">
        <v>2585</v>
      </c>
      <c r="Q1" s="12" t="s">
        <v>2599</v>
      </c>
      <c r="R1" s="2" t="s">
        <v>2212</v>
      </c>
      <c r="S1" s="2" t="s">
        <v>2213</v>
      </c>
      <c r="T1" s="2" t="s">
        <v>2214</v>
      </c>
      <c r="U1" s="2" t="s">
        <v>2215</v>
      </c>
      <c r="V1" s="2" t="s">
        <v>5</v>
      </c>
      <c r="W1" s="2" t="s">
        <v>2584</v>
      </c>
      <c r="X1" s="12" t="s">
        <v>2602</v>
      </c>
    </row>
    <row r="2" spans="1:28" x14ac:dyDescent="0.25">
      <c r="A2" s="2">
        <v>1</v>
      </c>
      <c r="B2" s="6" t="s">
        <v>2217</v>
      </c>
      <c r="C2" s="2">
        <v>0</v>
      </c>
      <c r="D2" s="2">
        <v>10000</v>
      </c>
      <c r="F2" s="2" t="e">
        <f>VLOOKUP(B2,$J$3:$K$72,2,FALSE)</f>
        <v>#N/A</v>
      </c>
      <c r="G2"/>
      <c r="I2" s="6" t="s">
        <v>2212</v>
      </c>
      <c r="J2" s="2" t="s">
        <v>2218</v>
      </c>
      <c r="K2" s="6" t="s">
        <v>2212</v>
      </c>
      <c r="O2" s="2">
        <v>1</v>
      </c>
      <c r="P2" s="12" t="s">
        <v>2600</v>
      </c>
      <c r="Q2" s="2">
        <v>0</v>
      </c>
      <c r="R2" s="2">
        <v>99</v>
      </c>
      <c r="S2" s="2" t="s">
        <v>1750</v>
      </c>
      <c r="T2" s="2">
        <v>0</v>
      </c>
      <c r="U2" s="2">
        <v>10000</v>
      </c>
      <c r="W2" s="2" t="e">
        <v>#N/A</v>
      </c>
      <c r="X2" s="2" t="s">
        <v>2624</v>
      </c>
      <c r="AA2" s="2" t="s">
        <v>2595</v>
      </c>
    </row>
    <row r="3" spans="1:28" x14ac:dyDescent="0.25">
      <c r="A3" s="2">
        <f>A2+1</f>
        <v>2</v>
      </c>
      <c r="B3" s="6" t="s">
        <v>2219</v>
      </c>
      <c r="C3" s="2">
        <v>0</v>
      </c>
      <c r="D3" s="2">
        <v>10000</v>
      </c>
      <c r="F3" s="2">
        <v>1</v>
      </c>
      <c r="G3"/>
      <c r="I3" s="2">
        <v>1</v>
      </c>
      <c r="J3" s="2" t="s">
        <v>2220</v>
      </c>
      <c r="K3" s="2">
        <v>1</v>
      </c>
      <c r="O3" s="2">
        <v>1</v>
      </c>
      <c r="P3" s="2" t="s">
        <v>2594</v>
      </c>
      <c r="Q3" s="2">
        <v>1</v>
      </c>
      <c r="R3" s="2">
        <v>5</v>
      </c>
      <c r="S3" s="2" t="s">
        <v>92</v>
      </c>
      <c r="T3" s="2">
        <v>0</v>
      </c>
      <c r="U3" s="2">
        <v>10000</v>
      </c>
      <c r="W3" s="2">
        <v>3</v>
      </c>
      <c r="X3" s="2" t="s">
        <v>2625</v>
      </c>
      <c r="Z3" s="2">
        <v>1</v>
      </c>
      <c r="AA3" s="2" t="s">
        <v>2594</v>
      </c>
      <c r="AB3" s="2">
        <v>1</v>
      </c>
    </row>
    <row r="4" spans="1:28" x14ac:dyDescent="0.25">
      <c r="A4" s="2">
        <f t="shared" ref="A4:A67" si="0">A3+1</f>
        <v>3</v>
      </c>
      <c r="B4" s="2" t="s">
        <v>2221</v>
      </c>
      <c r="C4" s="2">
        <v>0</v>
      </c>
      <c r="D4" s="2">
        <v>10000</v>
      </c>
      <c r="F4" s="2">
        <f t="shared" ref="F4:F66" si="1">VLOOKUP(B4,$J$3:$K$72,2,FALSE)</f>
        <v>2</v>
      </c>
      <c r="G4"/>
      <c r="I4" s="2">
        <v>2</v>
      </c>
      <c r="J4" s="2" t="s">
        <v>2221</v>
      </c>
      <c r="K4" s="2">
        <v>2</v>
      </c>
      <c r="O4" s="2">
        <v>1</v>
      </c>
      <c r="P4" s="2" t="s">
        <v>2227</v>
      </c>
      <c r="Q4" s="2">
        <v>2</v>
      </c>
      <c r="R4" s="2">
        <v>52</v>
      </c>
      <c r="S4" s="2" t="s">
        <v>941</v>
      </c>
      <c r="T4" s="2">
        <v>0</v>
      </c>
      <c r="U4" s="2">
        <v>10000</v>
      </c>
      <c r="W4" s="2" t="e">
        <v>#N/A</v>
      </c>
      <c r="X4" s="2" t="s">
        <v>2630</v>
      </c>
      <c r="Z4" s="2">
        <v>2</v>
      </c>
      <c r="AA4" s="2" t="s">
        <v>2227</v>
      </c>
      <c r="AB4" s="2">
        <v>2</v>
      </c>
    </row>
    <row r="5" spans="1:28" x14ac:dyDescent="0.25">
      <c r="A5" s="2">
        <f t="shared" si="0"/>
        <v>4</v>
      </c>
      <c r="B5" s="2" t="s">
        <v>2222</v>
      </c>
      <c r="C5" s="2">
        <v>0</v>
      </c>
      <c r="D5" s="2">
        <v>10000</v>
      </c>
      <c r="F5" s="2" t="e">
        <f t="shared" si="1"/>
        <v>#N/A</v>
      </c>
      <c r="G5" t="s">
        <v>2594</v>
      </c>
      <c r="I5" s="2">
        <v>3</v>
      </c>
      <c r="J5" s="2" t="s">
        <v>2223</v>
      </c>
      <c r="K5" s="2">
        <v>3</v>
      </c>
      <c r="O5" s="2">
        <v>1</v>
      </c>
      <c r="P5" s="2" t="s">
        <v>2593</v>
      </c>
      <c r="Q5" s="2">
        <v>3</v>
      </c>
      <c r="R5" s="2">
        <v>19</v>
      </c>
      <c r="S5" s="2" t="s">
        <v>2245</v>
      </c>
      <c r="T5" s="2">
        <v>0</v>
      </c>
      <c r="U5" s="2">
        <v>10000</v>
      </c>
      <c r="W5" s="2">
        <v>17</v>
      </c>
      <c r="X5" s="2" t="s">
        <v>2635</v>
      </c>
      <c r="Z5" s="2">
        <v>3</v>
      </c>
      <c r="AA5" s="2" t="s">
        <v>2593</v>
      </c>
      <c r="AB5" s="2">
        <v>3</v>
      </c>
    </row>
    <row r="6" spans="1:28" x14ac:dyDescent="0.25">
      <c r="A6" s="2">
        <f t="shared" si="0"/>
        <v>5</v>
      </c>
      <c r="B6" s="2" t="s">
        <v>92</v>
      </c>
      <c r="C6" s="2">
        <v>0</v>
      </c>
      <c r="D6" s="2">
        <v>10000</v>
      </c>
      <c r="F6" s="2">
        <v>3</v>
      </c>
      <c r="G6" t="s">
        <v>2594</v>
      </c>
      <c r="I6" s="2">
        <v>4</v>
      </c>
      <c r="J6" s="2" t="s">
        <v>2224</v>
      </c>
      <c r="K6" s="2">
        <v>4</v>
      </c>
      <c r="O6" s="2">
        <v>1</v>
      </c>
      <c r="P6" s="2" t="s">
        <v>2247</v>
      </c>
      <c r="Q6" s="2">
        <v>4</v>
      </c>
      <c r="R6" s="2">
        <v>20</v>
      </c>
      <c r="S6" s="2" t="s">
        <v>2247</v>
      </c>
      <c r="T6" s="2">
        <v>0</v>
      </c>
      <c r="U6" s="2">
        <v>28</v>
      </c>
      <c r="V6" s="2" t="s">
        <v>336</v>
      </c>
      <c r="W6" s="2">
        <v>23</v>
      </c>
      <c r="X6" s="2" t="s">
        <v>2247</v>
      </c>
      <c r="Z6" s="2">
        <v>4</v>
      </c>
      <c r="AA6" s="2" t="s">
        <v>2247</v>
      </c>
      <c r="AB6" s="2">
        <v>4</v>
      </c>
    </row>
    <row r="7" spans="1:28" x14ac:dyDescent="0.25">
      <c r="A7" s="2">
        <f t="shared" si="0"/>
        <v>6</v>
      </c>
      <c r="B7" s="2" t="s">
        <v>2225</v>
      </c>
      <c r="C7" s="2">
        <v>0</v>
      </c>
      <c r="D7" s="2">
        <v>10000</v>
      </c>
      <c r="F7" s="2" t="e">
        <f t="shared" si="1"/>
        <v>#N/A</v>
      </c>
      <c r="G7"/>
      <c r="I7" s="2">
        <v>5</v>
      </c>
      <c r="J7" s="2" t="s">
        <v>2226</v>
      </c>
      <c r="K7" s="2">
        <v>5</v>
      </c>
      <c r="O7" s="2">
        <v>1</v>
      </c>
      <c r="P7" s="2" t="s">
        <v>2249</v>
      </c>
      <c r="Q7" s="2">
        <v>5</v>
      </c>
      <c r="R7" s="2">
        <v>21</v>
      </c>
      <c r="S7" s="2" t="s">
        <v>2249</v>
      </c>
      <c r="T7" s="2">
        <v>29</v>
      </c>
      <c r="U7" s="2">
        <v>39</v>
      </c>
      <c r="V7" s="2" t="s">
        <v>336</v>
      </c>
      <c r="W7" s="2" t="e">
        <v>#N/A</v>
      </c>
      <c r="X7" s="2" t="s">
        <v>2249</v>
      </c>
      <c r="Z7" s="2">
        <v>5</v>
      </c>
      <c r="AA7" s="2" t="s">
        <v>2249</v>
      </c>
      <c r="AB7" s="2">
        <v>5</v>
      </c>
    </row>
    <row r="8" spans="1:28" x14ac:dyDescent="0.25">
      <c r="A8" s="2">
        <f t="shared" si="0"/>
        <v>7</v>
      </c>
      <c r="B8" s="2" t="s">
        <v>2227</v>
      </c>
      <c r="C8" s="2">
        <v>0</v>
      </c>
      <c r="D8" s="2">
        <v>10000</v>
      </c>
      <c r="F8" s="2">
        <v>13</v>
      </c>
      <c r="G8" t="s">
        <v>2227</v>
      </c>
      <c r="I8" s="2">
        <v>6</v>
      </c>
      <c r="J8" s="2" t="s">
        <v>2228</v>
      </c>
      <c r="K8" s="2">
        <v>6</v>
      </c>
      <c r="O8" s="2">
        <v>1</v>
      </c>
      <c r="P8" s="2" t="s">
        <v>2251</v>
      </c>
      <c r="Q8" s="2">
        <v>6</v>
      </c>
      <c r="R8" s="2">
        <v>22</v>
      </c>
      <c r="S8" s="2" t="s">
        <v>2251</v>
      </c>
      <c r="T8" s="2">
        <v>40</v>
      </c>
      <c r="U8" s="2">
        <v>48</v>
      </c>
      <c r="V8" s="2" t="s">
        <v>336</v>
      </c>
      <c r="W8" s="2" t="e">
        <v>#N/A</v>
      </c>
      <c r="X8" s="2" t="s">
        <v>2251</v>
      </c>
      <c r="Z8" s="2">
        <v>6</v>
      </c>
      <c r="AA8" s="2" t="s">
        <v>2251</v>
      </c>
      <c r="AB8" s="2">
        <v>6</v>
      </c>
    </row>
    <row r="9" spans="1:28" x14ac:dyDescent="0.25">
      <c r="A9" s="2">
        <f t="shared" si="0"/>
        <v>8</v>
      </c>
      <c r="B9" s="2" t="s">
        <v>2229</v>
      </c>
      <c r="C9" s="2">
        <v>0</v>
      </c>
      <c r="D9" s="2">
        <v>36</v>
      </c>
      <c r="E9" s="6" t="s">
        <v>277</v>
      </c>
      <c r="F9" s="2">
        <f t="shared" si="1"/>
        <v>9</v>
      </c>
      <c r="G9" t="s">
        <v>2227</v>
      </c>
      <c r="I9" s="2">
        <v>7</v>
      </c>
      <c r="J9" s="2" t="s">
        <v>2230</v>
      </c>
      <c r="K9" s="2">
        <v>7</v>
      </c>
      <c r="O9" s="2">
        <v>1</v>
      </c>
      <c r="P9" s="2" t="s">
        <v>2253</v>
      </c>
      <c r="Q9" s="2">
        <v>7</v>
      </c>
      <c r="R9" s="2">
        <v>23</v>
      </c>
      <c r="S9" s="2" t="s">
        <v>2253</v>
      </c>
      <c r="T9" s="2">
        <v>49</v>
      </c>
      <c r="U9" s="2">
        <v>57</v>
      </c>
      <c r="V9" s="2" t="s">
        <v>336</v>
      </c>
      <c r="W9" s="2" t="e">
        <v>#N/A</v>
      </c>
      <c r="X9" s="2" t="s">
        <v>2253</v>
      </c>
      <c r="Z9" s="2">
        <v>7</v>
      </c>
      <c r="AA9" s="2" t="s">
        <v>2253</v>
      </c>
      <c r="AB9" s="2">
        <v>7</v>
      </c>
    </row>
    <row r="10" spans="1:28" x14ac:dyDescent="0.25">
      <c r="A10" s="2">
        <f t="shared" si="0"/>
        <v>9</v>
      </c>
      <c r="B10" s="2" t="s">
        <v>2231</v>
      </c>
      <c r="C10" s="2">
        <v>37</v>
      </c>
      <c r="D10" s="2">
        <v>10000</v>
      </c>
      <c r="E10" s="6" t="s">
        <v>277</v>
      </c>
      <c r="F10" s="2">
        <f t="shared" si="1"/>
        <v>10</v>
      </c>
      <c r="G10" t="s">
        <v>2227</v>
      </c>
      <c r="I10" s="2">
        <v>8</v>
      </c>
      <c r="J10" s="2" t="s">
        <v>2232</v>
      </c>
      <c r="K10" s="2">
        <v>8</v>
      </c>
      <c r="O10" s="2">
        <v>1</v>
      </c>
      <c r="P10" s="2" t="s">
        <v>2255</v>
      </c>
      <c r="Q10" s="2">
        <v>8</v>
      </c>
      <c r="R10" s="2">
        <v>24</v>
      </c>
      <c r="S10" s="2" t="s">
        <v>2255</v>
      </c>
      <c r="T10" s="2">
        <v>58</v>
      </c>
      <c r="U10" s="2">
        <v>64</v>
      </c>
      <c r="V10" s="2" t="s">
        <v>336</v>
      </c>
      <c r="W10" s="2" t="e">
        <v>#N/A</v>
      </c>
      <c r="X10" s="2" t="s">
        <v>2255</v>
      </c>
      <c r="Z10" s="2">
        <v>8</v>
      </c>
      <c r="AA10" s="2" t="s">
        <v>2255</v>
      </c>
      <c r="AB10" s="2">
        <v>8</v>
      </c>
    </row>
    <row r="11" spans="1:28" x14ac:dyDescent="0.25">
      <c r="A11" s="2">
        <f t="shared" si="0"/>
        <v>10</v>
      </c>
      <c r="B11" s="2" t="s">
        <v>2233</v>
      </c>
      <c r="C11" s="2">
        <v>0</v>
      </c>
      <c r="D11" s="2">
        <v>24</v>
      </c>
      <c r="E11" s="6" t="s">
        <v>281</v>
      </c>
      <c r="F11" s="2">
        <f t="shared" si="1"/>
        <v>11</v>
      </c>
      <c r="G11" t="s">
        <v>2227</v>
      </c>
      <c r="I11" s="2">
        <v>9</v>
      </c>
      <c r="J11" s="2" t="s">
        <v>2234</v>
      </c>
      <c r="K11" s="2">
        <v>9</v>
      </c>
      <c r="O11" s="2">
        <v>1</v>
      </c>
      <c r="P11" s="2" t="s">
        <v>2257</v>
      </c>
      <c r="Q11" s="2">
        <v>9</v>
      </c>
      <c r="R11" s="2">
        <v>25</v>
      </c>
      <c r="S11" s="2" t="s">
        <v>2257</v>
      </c>
      <c r="T11" s="2">
        <v>65</v>
      </c>
      <c r="U11" s="2">
        <v>10000</v>
      </c>
      <c r="V11" s="2" t="s">
        <v>336</v>
      </c>
      <c r="W11" s="2" t="e">
        <v>#N/A</v>
      </c>
      <c r="X11" s="2" t="s">
        <v>2257</v>
      </c>
      <c r="Z11" s="2">
        <v>9</v>
      </c>
      <c r="AA11" s="2" t="s">
        <v>2257</v>
      </c>
      <c r="AB11" s="2">
        <v>9</v>
      </c>
    </row>
    <row r="12" spans="1:28" x14ac:dyDescent="0.25">
      <c r="A12" s="2">
        <f t="shared" si="0"/>
        <v>11</v>
      </c>
      <c r="B12" s="2" t="s">
        <v>2235</v>
      </c>
      <c r="C12" s="2">
        <v>25</v>
      </c>
      <c r="D12" s="2">
        <v>10000</v>
      </c>
      <c r="E12" s="6" t="s">
        <v>281</v>
      </c>
      <c r="F12" s="2">
        <f t="shared" si="1"/>
        <v>12</v>
      </c>
      <c r="G12" t="s">
        <v>2227</v>
      </c>
      <c r="I12" s="2">
        <v>10</v>
      </c>
      <c r="J12" s="2" t="s">
        <v>2231</v>
      </c>
      <c r="K12" s="2">
        <v>10</v>
      </c>
      <c r="O12" s="2">
        <v>1</v>
      </c>
      <c r="P12" s="2" t="s">
        <v>2259</v>
      </c>
      <c r="Q12" s="2">
        <v>10</v>
      </c>
      <c r="R12" s="2">
        <v>26</v>
      </c>
      <c r="S12" s="2" t="s">
        <v>2259</v>
      </c>
      <c r="T12" s="2">
        <v>0</v>
      </c>
      <c r="U12" s="2">
        <v>5</v>
      </c>
      <c r="V12" s="2" t="s">
        <v>342</v>
      </c>
      <c r="W12" s="2">
        <v>26</v>
      </c>
      <c r="X12" s="2" t="s">
        <v>2259</v>
      </c>
      <c r="Z12" s="2">
        <v>10</v>
      </c>
      <c r="AA12" s="2" t="s">
        <v>2259</v>
      </c>
      <c r="AB12" s="2">
        <v>10</v>
      </c>
    </row>
    <row r="13" spans="1:28" x14ac:dyDescent="0.25">
      <c r="A13" s="2">
        <f t="shared" si="0"/>
        <v>12</v>
      </c>
      <c r="B13" s="2" t="s">
        <v>2232</v>
      </c>
      <c r="C13" s="2">
        <v>0</v>
      </c>
      <c r="D13" s="2">
        <v>10000</v>
      </c>
      <c r="E13" s="6" t="s">
        <v>285</v>
      </c>
      <c r="F13" s="2">
        <f t="shared" si="1"/>
        <v>8</v>
      </c>
      <c r="G13"/>
      <c r="I13" s="2">
        <v>11</v>
      </c>
      <c r="J13" s="2" t="s">
        <v>2233</v>
      </c>
      <c r="K13" s="2">
        <v>11</v>
      </c>
      <c r="O13" s="2">
        <v>1</v>
      </c>
      <c r="P13" s="2" t="s">
        <v>2261</v>
      </c>
      <c r="Q13" s="2">
        <v>11</v>
      </c>
      <c r="R13" s="2">
        <v>27</v>
      </c>
      <c r="S13" s="2" t="s">
        <v>2261</v>
      </c>
      <c r="T13" s="2">
        <v>6</v>
      </c>
      <c r="U13" s="2">
        <v>13</v>
      </c>
      <c r="V13" s="2" t="s">
        <v>342</v>
      </c>
      <c r="W13" s="2" t="e">
        <v>#N/A</v>
      </c>
      <c r="X13" s="2" t="s">
        <v>2261</v>
      </c>
      <c r="Z13" s="2">
        <v>11</v>
      </c>
      <c r="AA13" s="2" t="s">
        <v>2261</v>
      </c>
      <c r="AB13" s="2">
        <v>11</v>
      </c>
    </row>
    <row r="14" spans="1:28" x14ac:dyDescent="0.25">
      <c r="A14" s="2">
        <f t="shared" si="0"/>
        <v>13</v>
      </c>
      <c r="B14" s="2" t="s">
        <v>2236</v>
      </c>
      <c r="C14" s="2">
        <v>0</v>
      </c>
      <c r="D14" s="2">
        <v>10000</v>
      </c>
      <c r="E14" s="6" t="s">
        <v>291</v>
      </c>
      <c r="F14" s="2" t="e">
        <f t="shared" si="1"/>
        <v>#N/A</v>
      </c>
      <c r="G14" t="s">
        <v>2592</v>
      </c>
      <c r="I14" s="2">
        <v>12</v>
      </c>
      <c r="J14" s="2" t="s">
        <v>2235</v>
      </c>
      <c r="K14" s="2">
        <v>12</v>
      </c>
      <c r="O14" s="2">
        <v>1</v>
      </c>
      <c r="P14" s="2" t="s">
        <v>2263</v>
      </c>
      <c r="Q14" s="2">
        <v>12</v>
      </c>
      <c r="R14" s="2">
        <v>28</v>
      </c>
      <c r="S14" s="2" t="s">
        <v>2263</v>
      </c>
      <c r="T14" s="2">
        <v>14</v>
      </c>
      <c r="U14" s="2">
        <v>21</v>
      </c>
      <c r="V14" s="2" t="s">
        <v>342</v>
      </c>
      <c r="W14" s="2" t="e">
        <v>#N/A</v>
      </c>
      <c r="X14" s="2" t="s">
        <v>2263</v>
      </c>
      <c r="Z14" s="2">
        <v>12</v>
      </c>
      <c r="AA14" s="2" t="s">
        <v>2263</v>
      </c>
      <c r="AB14" s="2">
        <v>12</v>
      </c>
    </row>
    <row r="15" spans="1:28" x14ac:dyDescent="0.25">
      <c r="A15" s="2">
        <f t="shared" si="0"/>
        <v>14</v>
      </c>
      <c r="B15" s="2" t="s">
        <v>2237</v>
      </c>
      <c r="C15" s="2">
        <v>0</v>
      </c>
      <c r="D15" s="2">
        <v>13</v>
      </c>
      <c r="E15" s="6" t="s">
        <v>295</v>
      </c>
      <c r="F15" s="2">
        <v>14</v>
      </c>
      <c r="G15" t="s">
        <v>2593</v>
      </c>
      <c r="I15" s="2">
        <v>13</v>
      </c>
      <c r="J15" s="2" t="s">
        <v>2238</v>
      </c>
      <c r="K15" s="2">
        <v>13</v>
      </c>
      <c r="O15" s="2">
        <v>1</v>
      </c>
      <c r="P15" s="2" t="s">
        <v>2265</v>
      </c>
      <c r="Q15" s="2">
        <v>13</v>
      </c>
      <c r="R15" s="2">
        <v>29</v>
      </c>
      <c r="S15" s="2" t="s">
        <v>2265</v>
      </c>
      <c r="T15" s="2">
        <v>22</v>
      </c>
      <c r="U15" s="2">
        <v>27</v>
      </c>
      <c r="V15" s="2" t="s">
        <v>342</v>
      </c>
      <c r="W15" s="2" t="e">
        <v>#N/A</v>
      </c>
      <c r="X15" s="2" t="s">
        <v>2265</v>
      </c>
      <c r="Z15" s="2">
        <v>13</v>
      </c>
      <c r="AA15" s="2" t="s">
        <v>2265</v>
      </c>
      <c r="AB15" s="2">
        <v>13</v>
      </c>
    </row>
    <row r="16" spans="1:28" x14ac:dyDescent="0.25">
      <c r="A16" s="2">
        <f t="shared" si="0"/>
        <v>15</v>
      </c>
      <c r="B16" s="2" t="s">
        <v>2239</v>
      </c>
      <c r="C16" s="2">
        <v>21</v>
      </c>
      <c r="D16" s="2">
        <v>36</v>
      </c>
      <c r="E16" s="6" t="s">
        <v>295</v>
      </c>
      <c r="F16" s="2" t="e">
        <f t="shared" si="1"/>
        <v>#N/A</v>
      </c>
      <c r="G16" t="s">
        <v>2593</v>
      </c>
      <c r="I16" s="2">
        <v>14</v>
      </c>
      <c r="J16" s="2" t="s">
        <v>2240</v>
      </c>
      <c r="K16" s="2">
        <v>14</v>
      </c>
      <c r="O16" s="2">
        <v>1</v>
      </c>
      <c r="P16" s="2" t="s">
        <v>2267</v>
      </c>
      <c r="Q16" s="2">
        <v>14</v>
      </c>
      <c r="R16" s="2">
        <v>30</v>
      </c>
      <c r="S16" s="2" t="s">
        <v>2267</v>
      </c>
      <c r="T16" s="2">
        <v>28</v>
      </c>
      <c r="U16" s="2">
        <v>33</v>
      </c>
      <c r="V16" s="2" t="s">
        <v>342</v>
      </c>
      <c r="W16" s="2" t="e">
        <v>#N/A</v>
      </c>
      <c r="X16" s="2" t="s">
        <v>2267</v>
      </c>
      <c r="Z16" s="2">
        <v>14</v>
      </c>
      <c r="AA16" s="2" t="s">
        <v>2267</v>
      </c>
      <c r="AB16" s="2">
        <v>14</v>
      </c>
    </row>
    <row r="17" spans="1:28" x14ac:dyDescent="0.25">
      <c r="A17" s="2">
        <f t="shared" si="0"/>
        <v>16</v>
      </c>
      <c r="B17" s="2" t="s">
        <v>2241</v>
      </c>
      <c r="C17" s="2">
        <v>37</v>
      </c>
      <c r="D17" s="2">
        <v>86</v>
      </c>
      <c r="E17" s="6" t="s">
        <v>295</v>
      </c>
      <c r="F17" s="2" t="e">
        <f t="shared" si="1"/>
        <v>#N/A</v>
      </c>
      <c r="G17" t="s">
        <v>2593</v>
      </c>
      <c r="I17" s="2">
        <v>15</v>
      </c>
      <c r="J17" s="2" t="s">
        <v>2242</v>
      </c>
      <c r="K17" s="2">
        <v>15</v>
      </c>
      <c r="O17" s="2">
        <v>1</v>
      </c>
      <c r="P17" s="2" t="s">
        <v>2269</v>
      </c>
      <c r="Q17" s="2">
        <v>15</v>
      </c>
      <c r="R17" s="2">
        <v>31</v>
      </c>
      <c r="S17" s="2" t="s">
        <v>2269</v>
      </c>
      <c r="T17" s="2">
        <v>34</v>
      </c>
      <c r="U17" s="2">
        <v>10000</v>
      </c>
      <c r="V17" s="2" t="s">
        <v>342</v>
      </c>
      <c r="W17" s="2" t="e">
        <v>#N/A</v>
      </c>
      <c r="X17" s="2" t="s">
        <v>2269</v>
      </c>
      <c r="Z17" s="2">
        <v>15</v>
      </c>
      <c r="AA17" s="2" t="s">
        <v>2269</v>
      </c>
      <c r="AB17" s="2">
        <v>15</v>
      </c>
    </row>
    <row r="18" spans="1:28" x14ac:dyDescent="0.25">
      <c r="A18" s="2">
        <f t="shared" si="0"/>
        <v>17</v>
      </c>
      <c r="B18" s="2" t="s">
        <v>2243</v>
      </c>
      <c r="C18" s="2">
        <v>0</v>
      </c>
      <c r="D18" s="2">
        <v>10000</v>
      </c>
      <c r="E18" s="6" t="s">
        <v>301</v>
      </c>
      <c r="F18" s="2">
        <f t="shared" si="1"/>
        <v>16</v>
      </c>
      <c r="G18" t="s">
        <v>2593</v>
      </c>
      <c r="I18" s="2">
        <v>16</v>
      </c>
      <c r="J18" s="10" t="s">
        <v>2243</v>
      </c>
      <c r="K18" s="2">
        <v>16</v>
      </c>
      <c r="O18" s="2">
        <v>1</v>
      </c>
      <c r="P18" s="2" t="s">
        <v>2592</v>
      </c>
      <c r="Q18" s="2">
        <v>16</v>
      </c>
      <c r="R18" s="2">
        <v>36</v>
      </c>
      <c r="S18" s="2" t="s">
        <v>2278</v>
      </c>
      <c r="T18" s="2">
        <v>0</v>
      </c>
      <c r="U18" s="2">
        <v>10000</v>
      </c>
      <c r="W18" s="2" t="e">
        <v>#N/A</v>
      </c>
      <c r="X18" s="2" t="s">
        <v>2639</v>
      </c>
      <c r="Z18" s="2">
        <v>16</v>
      </c>
      <c r="AA18" s="2" t="s">
        <v>2592</v>
      </c>
      <c r="AB18" s="2">
        <v>16</v>
      </c>
    </row>
    <row r="19" spans="1:28" x14ac:dyDescent="0.25">
      <c r="A19" s="2">
        <f t="shared" si="0"/>
        <v>18</v>
      </c>
      <c r="B19" s="6" t="s">
        <v>2244</v>
      </c>
      <c r="C19" s="2">
        <v>0</v>
      </c>
      <c r="D19" s="2">
        <v>10000</v>
      </c>
      <c r="E19" s="6" t="s">
        <v>306</v>
      </c>
      <c r="F19" s="2" t="e">
        <f t="shared" si="1"/>
        <v>#N/A</v>
      </c>
      <c r="G19" t="s">
        <v>2593</v>
      </c>
      <c r="I19" s="2">
        <v>17</v>
      </c>
      <c r="J19" s="2" t="s">
        <v>2245</v>
      </c>
      <c r="K19" s="2">
        <v>17</v>
      </c>
      <c r="O19" s="2">
        <v>1</v>
      </c>
      <c r="P19" s="2" t="s">
        <v>2586</v>
      </c>
      <c r="Q19" s="2">
        <v>17</v>
      </c>
      <c r="R19" s="2">
        <v>51</v>
      </c>
      <c r="S19" s="2" t="s">
        <v>2304</v>
      </c>
      <c r="T19" s="2">
        <v>0</v>
      </c>
      <c r="U19" s="2">
        <v>10000</v>
      </c>
      <c r="W19" s="2" t="e">
        <v>#N/A</v>
      </c>
      <c r="X19" s="2" t="s">
        <v>2644</v>
      </c>
      <c r="Z19" s="2">
        <v>17</v>
      </c>
      <c r="AA19" s="2" t="s">
        <v>2586</v>
      </c>
      <c r="AB19" s="2">
        <v>17</v>
      </c>
    </row>
    <row r="20" spans="1:28" x14ac:dyDescent="0.25">
      <c r="A20" s="2">
        <f t="shared" si="0"/>
        <v>19</v>
      </c>
      <c r="B20" s="6" t="s">
        <v>2245</v>
      </c>
      <c r="C20" s="2">
        <v>0</v>
      </c>
      <c r="D20" s="2">
        <v>10000</v>
      </c>
      <c r="F20" s="2">
        <f t="shared" si="1"/>
        <v>17</v>
      </c>
      <c r="G20" t="s">
        <v>2593</v>
      </c>
      <c r="I20" s="2">
        <v>18</v>
      </c>
      <c r="J20" s="2" t="s">
        <v>2246</v>
      </c>
      <c r="K20" s="2">
        <v>18</v>
      </c>
      <c r="O20" s="2">
        <v>1</v>
      </c>
      <c r="P20" s="2" t="s">
        <v>2587</v>
      </c>
      <c r="Q20" s="2">
        <v>18</v>
      </c>
      <c r="R20" s="2">
        <v>55</v>
      </c>
      <c r="S20" s="2" t="s">
        <v>2310</v>
      </c>
      <c r="T20" s="2">
        <v>0</v>
      </c>
      <c r="U20" s="2">
        <v>10000</v>
      </c>
      <c r="W20" s="2" t="e">
        <v>#N/A</v>
      </c>
      <c r="X20" s="2" t="s">
        <v>2646</v>
      </c>
      <c r="Z20" s="2">
        <v>18</v>
      </c>
      <c r="AA20" s="2" t="s">
        <v>2587</v>
      </c>
      <c r="AB20" s="2">
        <v>18</v>
      </c>
    </row>
    <row r="21" spans="1:28" x14ac:dyDescent="0.25">
      <c r="A21" s="2">
        <f t="shared" si="0"/>
        <v>20</v>
      </c>
      <c r="B21" s="2" t="s">
        <v>2247</v>
      </c>
      <c r="C21" s="2">
        <v>0</v>
      </c>
      <c r="D21" s="2">
        <v>28</v>
      </c>
      <c r="E21" s="6" t="s">
        <v>336</v>
      </c>
      <c r="F21" s="2">
        <v>23</v>
      </c>
      <c r="G21" s="2" t="s">
        <v>2247</v>
      </c>
      <c r="I21" s="2">
        <v>19</v>
      </c>
      <c r="J21" s="2" t="s">
        <v>2248</v>
      </c>
      <c r="K21" s="2">
        <v>19</v>
      </c>
      <c r="O21" s="2">
        <v>1</v>
      </c>
      <c r="P21" s="2" t="s">
        <v>2588</v>
      </c>
      <c r="Q21" s="2">
        <v>19</v>
      </c>
      <c r="R21" s="2">
        <v>58</v>
      </c>
      <c r="S21" s="2" t="s">
        <v>2316</v>
      </c>
      <c r="T21" s="2">
        <v>0</v>
      </c>
      <c r="U21" s="2">
        <v>10000</v>
      </c>
      <c r="W21" s="2" t="e">
        <v>#N/A</v>
      </c>
      <c r="X21" s="2" t="s">
        <v>2648</v>
      </c>
      <c r="Z21" s="2">
        <v>19</v>
      </c>
      <c r="AA21" s="2" t="s">
        <v>2588</v>
      </c>
      <c r="AB21" s="2">
        <v>19</v>
      </c>
    </row>
    <row r="22" spans="1:28" x14ac:dyDescent="0.25">
      <c r="A22" s="2">
        <f t="shared" si="0"/>
        <v>21</v>
      </c>
      <c r="B22" s="2" t="s">
        <v>2249</v>
      </c>
      <c r="C22" s="2">
        <f>D21+1</f>
        <v>29</v>
      </c>
      <c r="D22" s="2">
        <v>39</v>
      </c>
      <c r="E22" s="6" t="s">
        <v>336</v>
      </c>
      <c r="F22" s="2" t="e">
        <f t="shared" si="1"/>
        <v>#N/A</v>
      </c>
      <c r="G22" s="2" t="s">
        <v>2249</v>
      </c>
      <c r="I22" s="2">
        <v>20</v>
      </c>
      <c r="J22" s="2" t="s">
        <v>2250</v>
      </c>
      <c r="K22" s="2">
        <v>20</v>
      </c>
      <c r="O22" s="2">
        <v>1</v>
      </c>
      <c r="P22" s="12" t="s">
        <v>2596</v>
      </c>
      <c r="Q22" s="2">
        <v>20</v>
      </c>
      <c r="R22" s="2">
        <v>62</v>
      </c>
      <c r="S22" s="2" t="s">
        <v>2324</v>
      </c>
      <c r="T22" s="2">
        <v>0</v>
      </c>
      <c r="U22" s="2">
        <v>10000</v>
      </c>
      <c r="W22" s="2">
        <v>49</v>
      </c>
      <c r="X22" s="2" t="s">
        <v>2649</v>
      </c>
      <c r="Z22" s="2">
        <v>20</v>
      </c>
      <c r="AA22" s="2" t="s">
        <v>2596</v>
      </c>
      <c r="AB22" s="2">
        <v>20</v>
      </c>
    </row>
    <row r="23" spans="1:28" x14ac:dyDescent="0.25">
      <c r="A23" s="2">
        <f t="shared" si="0"/>
        <v>22</v>
      </c>
      <c r="B23" s="2" t="s">
        <v>2251</v>
      </c>
      <c r="C23" s="2">
        <f>D22+1</f>
        <v>40</v>
      </c>
      <c r="D23" s="2">
        <v>48</v>
      </c>
      <c r="E23" s="6" t="s">
        <v>336</v>
      </c>
      <c r="F23" s="2" t="e">
        <f t="shared" si="1"/>
        <v>#N/A</v>
      </c>
      <c r="G23" s="2" t="s">
        <v>2251</v>
      </c>
      <c r="I23" s="2">
        <v>21</v>
      </c>
      <c r="J23" s="2" t="s">
        <v>2252</v>
      </c>
      <c r="K23" s="2">
        <v>21</v>
      </c>
      <c r="O23" s="2">
        <v>1</v>
      </c>
      <c r="P23" s="12" t="s">
        <v>2597</v>
      </c>
      <c r="Q23" s="2">
        <v>21</v>
      </c>
      <c r="R23" s="2">
        <v>68</v>
      </c>
      <c r="S23" s="2" t="s">
        <v>2336</v>
      </c>
      <c r="T23" s="2">
        <v>0</v>
      </c>
      <c r="U23" s="2">
        <v>10000</v>
      </c>
      <c r="W23" s="2" t="e">
        <v>#N/A</v>
      </c>
      <c r="X23" s="2" t="s">
        <v>2336</v>
      </c>
      <c r="Z23" s="2">
        <v>21</v>
      </c>
      <c r="AA23" s="2" t="s">
        <v>2597</v>
      </c>
      <c r="AB23" s="2">
        <v>21</v>
      </c>
    </row>
    <row r="24" spans="1:28" x14ac:dyDescent="0.25">
      <c r="A24" s="2">
        <f t="shared" si="0"/>
        <v>23</v>
      </c>
      <c r="B24" s="2" t="s">
        <v>2253</v>
      </c>
      <c r="C24" s="2">
        <f>D23+1</f>
        <v>49</v>
      </c>
      <c r="D24" s="2">
        <v>57</v>
      </c>
      <c r="E24" s="6" t="s">
        <v>336</v>
      </c>
      <c r="F24" s="2" t="e">
        <f t="shared" si="1"/>
        <v>#N/A</v>
      </c>
      <c r="G24" s="2" t="s">
        <v>2253</v>
      </c>
      <c r="I24" s="2">
        <v>22</v>
      </c>
      <c r="J24" s="2" t="s">
        <v>2254</v>
      </c>
      <c r="K24" s="2">
        <v>22</v>
      </c>
      <c r="O24" s="2">
        <v>1</v>
      </c>
      <c r="P24" s="2" t="s">
        <v>2598</v>
      </c>
      <c r="Q24" s="2">
        <v>22</v>
      </c>
      <c r="R24" s="2">
        <v>71</v>
      </c>
      <c r="S24" s="2" t="s">
        <v>2348</v>
      </c>
      <c r="T24" s="2">
        <v>0</v>
      </c>
      <c r="U24" s="2">
        <v>10000</v>
      </c>
      <c r="W24" s="2" t="e">
        <v>#N/A</v>
      </c>
      <c r="X24" s="2" t="s">
        <v>2656</v>
      </c>
      <c r="Z24" s="2">
        <v>22</v>
      </c>
      <c r="AA24" s="2" t="s">
        <v>2598</v>
      </c>
      <c r="AB24" s="2">
        <v>22</v>
      </c>
    </row>
    <row r="25" spans="1:28" x14ac:dyDescent="0.25">
      <c r="A25" s="2">
        <f t="shared" si="0"/>
        <v>24</v>
      </c>
      <c r="B25" s="2" t="s">
        <v>2255</v>
      </c>
      <c r="C25" s="2">
        <f>D24+1</f>
        <v>58</v>
      </c>
      <c r="D25" s="2">
        <v>64</v>
      </c>
      <c r="E25" s="6" t="s">
        <v>336</v>
      </c>
      <c r="F25" s="2" t="e">
        <f t="shared" si="1"/>
        <v>#N/A</v>
      </c>
      <c r="G25" s="2" t="s">
        <v>2255</v>
      </c>
      <c r="I25" s="2">
        <v>23</v>
      </c>
      <c r="J25" s="2" t="s">
        <v>2256</v>
      </c>
      <c r="K25" s="2">
        <v>23</v>
      </c>
      <c r="O25" s="2">
        <v>1</v>
      </c>
      <c r="P25" s="2" t="s">
        <v>27</v>
      </c>
      <c r="Q25" s="2">
        <v>23</v>
      </c>
      <c r="R25" s="2">
        <v>75</v>
      </c>
      <c r="S25" s="2" t="s">
        <v>2581</v>
      </c>
      <c r="T25" s="2">
        <v>0</v>
      </c>
      <c r="U25" s="2">
        <v>10000</v>
      </c>
      <c r="W25" s="2" t="e">
        <v>#N/A</v>
      </c>
      <c r="X25" s="2" t="s">
        <v>2658</v>
      </c>
      <c r="Z25" s="2">
        <v>23</v>
      </c>
      <c r="AA25" s="2" t="s">
        <v>27</v>
      </c>
      <c r="AB25" s="2">
        <v>23</v>
      </c>
    </row>
    <row r="26" spans="1:28" x14ac:dyDescent="0.25">
      <c r="A26" s="2">
        <f t="shared" si="0"/>
        <v>25</v>
      </c>
      <c r="B26" s="6" t="s">
        <v>2257</v>
      </c>
      <c r="C26" s="2">
        <f>D25+1</f>
        <v>65</v>
      </c>
      <c r="D26" s="2">
        <v>10000</v>
      </c>
      <c r="E26" s="6" t="s">
        <v>336</v>
      </c>
      <c r="F26" s="2" t="e">
        <f t="shared" si="1"/>
        <v>#N/A</v>
      </c>
      <c r="G26" s="6" t="s">
        <v>2257</v>
      </c>
      <c r="I26" s="2">
        <v>24</v>
      </c>
      <c r="J26" s="2" t="s">
        <v>2258</v>
      </c>
      <c r="K26" s="2">
        <v>24</v>
      </c>
      <c r="O26" s="2">
        <v>1</v>
      </c>
      <c r="P26" s="2" t="s">
        <v>2352</v>
      </c>
      <c r="Q26" s="2">
        <v>25</v>
      </c>
      <c r="R26" s="2">
        <v>81</v>
      </c>
      <c r="S26" s="2" t="s">
        <v>2583</v>
      </c>
      <c r="T26" s="2">
        <v>0</v>
      </c>
      <c r="U26" s="2">
        <v>10000</v>
      </c>
      <c r="W26" s="2" t="e">
        <v>#N/A</v>
      </c>
      <c r="X26" s="2" t="s">
        <v>2659</v>
      </c>
      <c r="Z26" s="2">
        <v>24</v>
      </c>
      <c r="AA26" s="2" t="s">
        <v>2350</v>
      </c>
      <c r="AB26" s="2">
        <v>24</v>
      </c>
    </row>
    <row r="27" spans="1:28" x14ac:dyDescent="0.25">
      <c r="A27" s="2">
        <f t="shared" si="0"/>
        <v>26</v>
      </c>
      <c r="B27" s="2" t="s">
        <v>2259</v>
      </c>
      <c r="C27" s="2">
        <v>0</v>
      </c>
      <c r="D27" s="2">
        <v>5</v>
      </c>
      <c r="E27" s="6" t="s">
        <v>342</v>
      </c>
      <c r="F27" s="2">
        <v>26</v>
      </c>
      <c r="G27" s="2" t="s">
        <v>2259</v>
      </c>
      <c r="I27" s="2">
        <v>25</v>
      </c>
      <c r="J27" s="2" t="s">
        <v>2260</v>
      </c>
      <c r="K27" s="2">
        <v>25</v>
      </c>
      <c r="O27" s="2">
        <v>1</v>
      </c>
      <c r="P27" s="2" t="s">
        <v>22</v>
      </c>
      <c r="Q27" s="2">
        <v>26</v>
      </c>
      <c r="R27" s="2">
        <v>83</v>
      </c>
      <c r="S27" s="2" t="s">
        <v>2341</v>
      </c>
      <c r="T27" s="2">
        <v>0</v>
      </c>
      <c r="U27" s="2">
        <v>10000</v>
      </c>
      <c r="W27" s="2">
        <v>69</v>
      </c>
      <c r="X27" s="2" t="s">
        <v>2660</v>
      </c>
      <c r="Z27" s="2">
        <v>25</v>
      </c>
      <c r="AA27" s="2" t="s">
        <v>2352</v>
      </c>
      <c r="AB27" s="2">
        <v>25</v>
      </c>
    </row>
    <row r="28" spans="1:28" x14ac:dyDescent="0.25">
      <c r="A28" s="2">
        <f t="shared" si="0"/>
        <v>27</v>
      </c>
      <c r="B28" s="6" t="s">
        <v>2261</v>
      </c>
      <c r="C28" s="2">
        <f>D27+1</f>
        <v>6</v>
      </c>
      <c r="D28" s="2">
        <v>13</v>
      </c>
      <c r="E28" s="6" t="s">
        <v>342</v>
      </c>
      <c r="F28" s="2" t="e">
        <f t="shared" si="1"/>
        <v>#N/A</v>
      </c>
      <c r="G28" s="6" t="s">
        <v>2261</v>
      </c>
      <c r="I28" s="2">
        <v>26</v>
      </c>
      <c r="J28" s="2" t="s">
        <v>2262</v>
      </c>
      <c r="K28" s="2">
        <v>26</v>
      </c>
      <c r="O28" s="2">
        <v>0</v>
      </c>
      <c r="P28" s="12" t="s">
        <v>2600</v>
      </c>
      <c r="Q28" s="2">
        <v>0</v>
      </c>
      <c r="R28" s="2">
        <v>1</v>
      </c>
      <c r="S28" s="2" t="s">
        <v>2217</v>
      </c>
      <c r="T28" s="2">
        <v>0</v>
      </c>
      <c r="U28" s="2">
        <v>10000</v>
      </c>
      <c r="W28" s="2" t="e">
        <v>#N/A</v>
      </c>
      <c r="X28" s="2" t="s">
        <v>2217</v>
      </c>
      <c r="Z28" s="2">
        <v>26</v>
      </c>
      <c r="AA28" s="12" t="s">
        <v>22</v>
      </c>
      <c r="AB28" s="2">
        <v>26</v>
      </c>
    </row>
    <row r="29" spans="1:28" x14ac:dyDescent="0.25">
      <c r="A29" s="2">
        <f t="shared" si="0"/>
        <v>28</v>
      </c>
      <c r="B29" s="6" t="s">
        <v>2263</v>
      </c>
      <c r="C29" s="2">
        <f t="shared" ref="C29:C32" si="2">D28+1</f>
        <v>14</v>
      </c>
      <c r="D29" s="2">
        <v>21</v>
      </c>
      <c r="E29" s="6" t="s">
        <v>342</v>
      </c>
      <c r="F29" s="2" t="e">
        <f t="shared" si="1"/>
        <v>#N/A</v>
      </c>
      <c r="G29" s="6" t="s">
        <v>2263</v>
      </c>
      <c r="I29" s="2">
        <v>27</v>
      </c>
      <c r="J29" s="2" t="s">
        <v>2264</v>
      </c>
      <c r="K29" s="2">
        <v>27</v>
      </c>
      <c r="O29" s="2">
        <v>0</v>
      </c>
      <c r="P29" s="12" t="s">
        <v>2600</v>
      </c>
      <c r="Q29" s="2">
        <v>0</v>
      </c>
      <c r="R29" s="2">
        <v>2</v>
      </c>
      <c r="S29" s="2" t="s">
        <v>2219</v>
      </c>
      <c r="T29" s="2">
        <v>0</v>
      </c>
      <c r="U29" s="2">
        <v>10000</v>
      </c>
      <c r="W29" s="2">
        <v>1</v>
      </c>
      <c r="X29" s="2" t="s">
        <v>2603</v>
      </c>
    </row>
    <row r="30" spans="1:28" x14ac:dyDescent="0.25">
      <c r="A30" s="2">
        <f t="shared" si="0"/>
        <v>29</v>
      </c>
      <c r="B30" s="6" t="s">
        <v>2265</v>
      </c>
      <c r="C30" s="2">
        <f t="shared" si="2"/>
        <v>22</v>
      </c>
      <c r="D30" s="2">
        <v>27</v>
      </c>
      <c r="E30" s="6" t="s">
        <v>342</v>
      </c>
      <c r="F30" s="2" t="e">
        <f t="shared" si="1"/>
        <v>#N/A</v>
      </c>
      <c r="G30" s="6" t="s">
        <v>2265</v>
      </c>
      <c r="I30" s="2">
        <v>28</v>
      </c>
      <c r="J30" s="2" t="s">
        <v>2266</v>
      </c>
      <c r="K30" s="2">
        <v>28</v>
      </c>
      <c r="O30" s="2">
        <v>0</v>
      </c>
      <c r="P30" s="12" t="s">
        <v>2600</v>
      </c>
      <c r="Q30" s="2">
        <v>0</v>
      </c>
      <c r="R30" s="2">
        <v>3</v>
      </c>
      <c r="S30" s="2" t="s">
        <v>2221</v>
      </c>
      <c r="T30" s="2">
        <v>0</v>
      </c>
      <c r="U30" s="2">
        <v>10000</v>
      </c>
      <c r="W30" s="2">
        <v>2</v>
      </c>
      <c r="X30" s="2" t="s">
        <v>2604</v>
      </c>
    </row>
    <row r="31" spans="1:28" x14ac:dyDescent="0.25">
      <c r="A31" s="2">
        <f t="shared" si="0"/>
        <v>30</v>
      </c>
      <c r="B31" s="6" t="s">
        <v>2267</v>
      </c>
      <c r="C31" s="2">
        <f t="shared" si="2"/>
        <v>28</v>
      </c>
      <c r="D31" s="2">
        <v>33</v>
      </c>
      <c r="E31" s="6" t="s">
        <v>342</v>
      </c>
      <c r="F31" s="2" t="e">
        <f t="shared" si="1"/>
        <v>#N/A</v>
      </c>
      <c r="G31" s="6" t="s">
        <v>2267</v>
      </c>
      <c r="I31" s="2">
        <v>29</v>
      </c>
      <c r="J31" s="2" t="s">
        <v>2268</v>
      </c>
      <c r="K31" s="2">
        <v>29</v>
      </c>
      <c r="O31" s="2">
        <v>0</v>
      </c>
      <c r="P31" s="12" t="s">
        <v>2600</v>
      </c>
      <c r="Q31" s="2">
        <v>0</v>
      </c>
      <c r="R31" s="2">
        <v>6</v>
      </c>
      <c r="S31" s="2" t="s">
        <v>2225</v>
      </c>
      <c r="T31" s="2">
        <v>0</v>
      </c>
      <c r="U31" s="2">
        <v>10000</v>
      </c>
      <c r="W31" s="2" t="e">
        <v>#N/A</v>
      </c>
      <c r="X31" s="2" t="s">
        <v>2605</v>
      </c>
    </row>
    <row r="32" spans="1:28" x14ac:dyDescent="0.25">
      <c r="A32" s="2">
        <f t="shared" si="0"/>
        <v>31</v>
      </c>
      <c r="B32" s="6" t="s">
        <v>2269</v>
      </c>
      <c r="C32" s="2">
        <f t="shared" si="2"/>
        <v>34</v>
      </c>
      <c r="D32" s="2">
        <v>10000</v>
      </c>
      <c r="E32" s="6" t="s">
        <v>342</v>
      </c>
      <c r="F32" s="2" t="e">
        <f t="shared" si="1"/>
        <v>#N/A</v>
      </c>
      <c r="G32" s="6" t="s">
        <v>2269</v>
      </c>
      <c r="I32" s="2">
        <v>30</v>
      </c>
      <c r="J32" s="2" t="s">
        <v>2270</v>
      </c>
      <c r="K32" s="2">
        <v>30</v>
      </c>
      <c r="O32" s="2">
        <v>0</v>
      </c>
      <c r="P32" s="12" t="s">
        <v>2600</v>
      </c>
      <c r="Q32" s="2">
        <v>0</v>
      </c>
      <c r="R32" s="2">
        <v>12</v>
      </c>
      <c r="S32" s="2" t="s">
        <v>2232</v>
      </c>
      <c r="T32" s="2">
        <v>0</v>
      </c>
      <c r="U32" s="2">
        <v>10000</v>
      </c>
      <c r="V32" s="2" t="s">
        <v>285</v>
      </c>
      <c r="W32" s="2">
        <v>8</v>
      </c>
      <c r="X32" s="2" t="s">
        <v>2606</v>
      </c>
    </row>
    <row r="33" spans="1:24" x14ac:dyDescent="0.25">
      <c r="A33" s="2">
        <f t="shared" si="0"/>
        <v>32</v>
      </c>
      <c r="B33" s="6" t="s">
        <v>2271</v>
      </c>
      <c r="C33" s="2">
        <v>0</v>
      </c>
      <c r="D33" s="2">
        <v>10000</v>
      </c>
      <c r="F33" s="2" t="e">
        <f t="shared" si="1"/>
        <v>#N/A</v>
      </c>
      <c r="G33" t="s">
        <v>2592</v>
      </c>
      <c r="I33" s="2">
        <v>31</v>
      </c>
      <c r="J33" s="2" t="s">
        <v>2272</v>
      </c>
      <c r="K33" s="2">
        <v>31</v>
      </c>
      <c r="O33" s="2">
        <v>0</v>
      </c>
      <c r="P33" s="12" t="s">
        <v>2600</v>
      </c>
      <c r="Q33" s="2">
        <v>0</v>
      </c>
      <c r="R33" s="2">
        <v>33</v>
      </c>
      <c r="S33" s="2" t="s">
        <v>2273</v>
      </c>
      <c r="T33" s="2">
        <v>0</v>
      </c>
      <c r="U33" s="2">
        <v>10000</v>
      </c>
      <c r="V33" s="2" t="s">
        <v>350</v>
      </c>
      <c r="W33" s="2" t="e">
        <v>#N/A</v>
      </c>
      <c r="X33" s="2" t="s">
        <v>2607</v>
      </c>
    </row>
    <row r="34" spans="1:24" x14ac:dyDescent="0.25">
      <c r="A34" s="2">
        <f t="shared" si="0"/>
        <v>33</v>
      </c>
      <c r="B34" s="6" t="s">
        <v>2273</v>
      </c>
      <c r="C34" s="2">
        <v>0</v>
      </c>
      <c r="D34" s="2">
        <v>10000</v>
      </c>
      <c r="E34" s="6" t="s">
        <v>350</v>
      </c>
      <c r="F34" s="2" t="e">
        <f t="shared" si="1"/>
        <v>#N/A</v>
      </c>
      <c r="G34"/>
      <c r="I34" s="2">
        <v>32</v>
      </c>
      <c r="J34" s="2" t="s">
        <v>2274</v>
      </c>
      <c r="K34" s="2">
        <v>32</v>
      </c>
      <c r="O34" s="2">
        <v>0</v>
      </c>
      <c r="P34" s="12" t="s">
        <v>2600</v>
      </c>
      <c r="Q34" s="2">
        <v>0</v>
      </c>
      <c r="R34" s="2">
        <v>37</v>
      </c>
      <c r="S34" s="2" t="s">
        <v>2280</v>
      </c>
      <c r="T34" s="2">
        <v>0</v>
      </c>
      <c r="U34" s="2">
        <v>10000</v>
      </c>
      <c r="W34" s="2" t="e">
        <v>#N/A</v>
      </c>
      <c r="X34" s="2" t="s">
        <v>2608</v>
      </c>
    </row>
    <row r="35" spans="1:24" x14ac:dyDescent="0.25">
      <c r="A35" s="2">
        <f t="shared" si="0"/>
        <v>34</v>
      </c>
      <c r="B35" s="6" t="s">
        <v>2275</v>
      </c>
      <c r="C35" s="2">
        <v>0</v>
      </c>
      <c r="D35" s="2">
        <v>10000</v>
      </c>
      <c r="E35" s="6" t="s">
        <v>355</v>
      </c>
      <c r="F35" s="2" t="e">
        <f t="shared" si="1"/>
        <v>#N/A</v>
      </c>
      <c r="G35" t="s">
        <v>2592</v>
      </c>
      <c r="I35" s="2">
        <v>33</v>
      </c>
      <c r="J35" s="2" t="s">
        <v>2276</v>
      </c>
      <c r="K35" s="2">
        <v>33</v>
      </c>
      <c r="O35" s="2">
        <v>0</v>
      </c>
      <c r="P35" s="12" t="s">
        <v>2600</v>
      </c>
      <c r="Q35" s="2">
        <v>0</v>
      </c>
      <c r="R35" s="2">
        <v>38</v>
      </c>
      <c r="S35" s="2" t="s">
        <v>2282</v>
      </c>
      <c r="T35" s="2">
        <v>0</v>
      </c>
      <c r="U35" s="2">
        <v>10000</v>
      </c>
      <c r="W35" s="2" t="e">
        <v>#N/A</v>
      </c>
      <c r="X35" s="2" t="s">
        <v>2609</v>
      </c>
    </row>
    <row r="36" spans="1:24" x14ac:dyDescent="0.25">
      <c r="A36" s="2">
        <f t="shared" si="0"/>
        <v>35</v>
      </c>
      <c r="B36" s="2" t="s">
        <v>2276</v>
      </c>
      <c r="C36" s="2">
        <v>0</v>
      </c>
      <c r="D36" s="2">
        <v>10000</v>
      </c>
      <c r="F36" s="2">
        <f t="shared" si="1"/>
        <v>33</v>
      </c>
      <c r="G36" t="s">
        <v>2592</v>
      </c>
      <c r="I36" s="2">
        <v>34</v>
      </c>
      <c r="J36" s="2" t="s">
        <v>2277</v>
      </c>
      <c r="K36" s="2">
        <v>34</v>
      </c>
      <c r="O36" s="2">
        <v>0</v>
      </c>
      <c r="P36" s="12" t="s">
        <v>2600</v>
      </c>
      <c r="Q36" s="2">
        <v>0</v>
      </c>
      <c r="R36" s="2">
        <v>39</v>
      </c>
      <c r="S36" s="2" t="s">
        <v>2284</v>
      </c>
      <c r="T36" s="2">
        <v>0</v>
      </c>
      <c r="U36" s="2">
        <v>10000</v>
      </c>
      <c r="V36" s="2" t="s">
        <v>404</v>
      </c>
      <c r="W36" s="2" t="e">
        <v>#N/A</v>
      </c>
      <c r="X36" s="2" t="s">
        <v>2610</v>
      </c>
    </row>
    <row r="37" spans="1:24" x14ac:dyDescent="0.25">
      <c r="A37" s="2">
        <f t="shared" si="0"/>
        <v>36</v>
      </c>
      <c r="B37" s="2" t="s">
        <v>2278</v>
      </c>
      <c r="C37" s="2">
        <v>0</v>
      </c>
      <c r="D37" s="2">
        <v>10000</v>
      </c>
      <c r="F37" s="2" t="e">
        <f t="shared" si="1"/>
        <v>#N/A</v>
      </c>
      <c r="G37" t="s">
        <v>2592</v>
      </c>
      <c r="I37" s="2">
        <v>35</v>
      </c>
      <c r="J37" s="2" t="s">
        <v>2279</v>
      </c>
      <c r="K37" s="2">
        <v>35</v>
      </c>
      <c r="O37" s="2">
        <v>0</v>
      </c>
      <c r="P37" s="12" t="s">
        <v>2600</v>
      </c>
      <c r="Q37" s="2">
        <v>0</v>
      </c>
      <c r="R37" s="2">
        <v>40</v>
      </c>
      <c r="S37" s="2" t="s">
        <v>2286</v>
      </c>
      <c r="T37" s="2">
        <v>0</v>
      </c>
      <c r="U37" s="2">
        <v>15</v>
      </c>
      <c r="W37" s="2" t="e">
        <v>#N/A</v>
      </c>
      <c r="X37" s="2" t="s">
        <v>2611</v>
      </c>
    </row>
    <row r="38" spans="1:24" x14ac:dyDescent="0.25">
      <c r="A38" s="2">
        <f t="shared" si="0"/>
        <v>37</v>
      </c>
      <c r="B38" s="2" t="s">
        <v>2280</v>
      </c>
      <c r="C38" s="2">
        <v>0</v>
      </c>
      <c r="D38" s="2">
        <v>10000</v>
      </c>
      <c r="F38" s="2" t="e">
        <f t="shared" si="1"/>
        <v>#N/A</v>
      </c>
      <c r="G38"/>
      <c r="I38" s="2">
        <v>36</v>
      </c>
      <c r="J38" s="2" t="s">
        <v>2281</v>
      </c>
      <c r="K38" s="2">
        <v>36</v>
      </c>
      <c r="O38" s="2">
        <v>0</v>
      </c>
      <c r="P38" s="12" t="s">
        <v>2600</v>
      </c>
      <c r="Q38" s="2">
        <v>0</v>
      </c>
      <c r="R38" s="2">
        <v>41</v>
      </c>
      <c r="S38" s="2" t="s">
        <v>2288</v>
      </c>
      <c r="T38" s="2">
        <v>16</v>
      </c>
      <c r="U38" s="2">
        <v>42</v>
      </c>
      <c r="W38" s="2" t="e">
        <v>#N/A</v>
      </c>
      <c r="X38" s="2" t="s">
        <v>2612</v>
      </c>
    </row>
    <row r="39" spans="1:24" x14ac:dyDescent="0.25">
      <c r="A39" s="2">
        <f t="shared" si="0"/>
        <v>38</v>
      </c>
      <c r="B39" s="6" t="s">
        <v>2282</v>
      </c>
      <c r="C39" s="2">
        <v>0</v>
      </c>
      <c r="D39" s="2">
        <v>10000</v>
      </c>
      <c r="F39" s="2" t="e">
        <f t="shared" si="1"/>
        <v>#N/A</v>
      </c>
      <c r="G39"/>
      <c r="I39" s="2">
        <v>37</v>
      </c>
      <c r="J39" s="2" t="s">
        <v>2283</v>
      </c>
      <c r="K39" s="2">
        <v>37</v>
      </c>
      <c r="O39" s="2">
        <v>0</v>
      </c>
      <c r="P39" s="12" t="s">
        <v>2600</v>
      </c>
      <c r="Q39" s="2">
        <v>0</v>
      </c>
      <c r="R39" s="2">
        <v>42</v>
      </c>
      <c r="S39" s="2" t="s">
        <v>2290</v>
      </c>
      <c r="T39" s="2">
        <v>0</v>
      </c>
      <c r="U39" s="2">
        <v>10000</v>
      </c>
      <c r="V39" s="2" t="s">
        <v>418</v>
      </c>
      <c r="W39" s="2" t="e">
        <v>#N/A</v>
      </c>
      <c r="X39" s="2" t="s">
        <v>2613</v>
      </c>
    </row>
    <row r="40" spans="1:24" x14ac:dyDescent="0.25">
      <c r="A40" s="2">
        <f t="shared" si="0"/>
        <v>39</v>
      </c>
      <c r="B40" s="6" t="s">
        <v>2284</v>
      </c>
      <c r="C40" s="2">
        <v>0</v>
      </c>
      <c r="D40" s="2">
        <v>10000</v>
      </c>
      <c r="E40" s="6" t="s">
        <v>404</v>
      </c>
      <c r="F40" s="2" t="e">
        <f t="shared" si="1"/>
        <v>#N/A</v>
      </c>
      <c r="G40"/>
      <c r="I40" s="2">
        <v>38</v>
      </c>
      <c r="J40" s="2" t="s">
        <v>2285</v>
      </c>
      <c r="K40" s="2">
        <v>38</v>
      </c>
      <c r="O40" s="2">
        <v>0</v>
      </c>
      <c r="P40" s="12" t="s">
        <v>2600</v>
      </c>
      <c r="Q40" s="2">
        <v>0</v>
      </c>
      <c r="R40" s="2">
        <v>43</v>
      </c>
      <c r="S40" s="2" t="s">
        <v>432</v>
      </c>
      <c r="T40" s="2">
        <v>0</v>
      </c>
      <c r="U40" s="2">
        <v>10000</v>
      </c>
      <c r="W40" s="2" t="e">
        <v>#N/A</v>
      </c>
      <c r="X40" s="2" t="s">
        <v>2614</v>
      </c>
    </row>
    <row r="41" spans="1:24" x14ac:dyDescent="0.25">
      <c r="A41" s="2">
        <f t="shared" si="0"/>
        <v>40</v>
      </c>
      <c r="B41" s="2" t="s">
        <v>2286</v>
      </c>
      <c r="C41" s="2">
        <v>0</v>
      </c>
      <c r="D41" s="2">
        <v>15</v>
      </c>
      <c r="F41" s="2" t="e">
        <f t="shared" si="1"/>
        <v>#N/A</v>
      </c>
      <c r="G41"/>
      <c r="I41" s="2">
        <v>39</v>
      </c>
      <c r="J41" s="2" t="s">
        <v>2287</v>
      </c>
      <c r="K41" s="2">
        <v>39</v>
      </c>
      <c r="O41" s="2">
        <v>0</v>
      </c>
      <c r="P41" s="12" t="s">
        <v>2600</v>
      </c>
      <c r="Q41" s="2">
        <v>0</v>
      </c>
      <c r="R41" s="2">
        <v>44</v>
      </c>
      <c r="S41" s="2" t="s">
        <v>2293</v>
      </c>
      <c r="T41" s="2">
        <v>0</v>
      </c>
      <c r="U41" s="2">
        <v>10000</v>
      </c>
      <c r="W41" s="2" t="e">
        <v>#N/A</v>
      </c>
      <c r="X41" s="2" t="s">
        <v>2615</v>
      </c>
    </row>
    <row r="42" spans="1:24" x14ac:dyDescent="0.25">
      <c r="A42" s="2">
        <f t="shared" si="0"/>
        <v>41</v>
      </c>
      <c r="B42" s="2" t="s">
        <v>2288</v>
      </c>
      <c r="C42" s="2">
        <v>16</v>
      </c>
      <c r="D42" s="2">
        <v>42</v>
      </c>
      <c r="F42" s="2" t="e">
        <f t="shared" si="1"/>
        <v>#N/A</v>
      </c>
      <c r="G42"/>
      <c r="I42" s="2">
        <v>40</v>
      </c>
      <c r="J42" s="2" t="s">
        <v>2289</v>
      </c>
      <c r="K42" s="2">
        <v>40</v>
      </c>
      <c r="O42" s="2">
        <v>0</v>
      </c>
      <c r="P42" s="12" t="s">
        <v>2600</v>
      </c>
      <c r="Q42" s="2">
        <v>0</v>
      </c>
      <c r="R42" s="2">
        <v>45</v>
      </c>
      <c r="S42" s="2" t="s">
        <v>2281</v>
      </c>
      <c r="T42" s="2">
        <v>0</v>
      </c>
      <c r="U42" s="2">
        <v>10000</v>
      </c>
      <c r="W42" s="2">
        <v>36</v>
      </c>
      <c r="X42" s="2" t="s">
        <v>2616</v>
      </c>
    </row>
    <row r="43" spans="1:24" x14ac:dyDescent="0.25">
      <c r="A43" s="2">
        <f t="shared" si="0"/>
        <v>42</v>
      </c>
      <c r="B43" s="2" t="s">
        <v>2290</v>
      </c>
      <c r="C43" s="2">
        <v>0</v>
      </c>
      <c r="D43" s="2">
        <v>10000</v>
      </c>
      <c r="E43" s="6" t="s">
        <v>418</v>
      </c>
      <c r="F43" s="2" t="e">
        <f t="shared" si="1"/>
        <v>#N/A</v>
      </c>
      <c r="G43"/>
      <c r="I43" s="2">
        <v>41</v>
      </c>
      <c r="J43" s="2" t="s">
        <v>2291</v>
      </c>
      <c r="K43" s="2">
        <v>41</v>
      </c>
      <c r="O43" s="2">
        <v>0</v>
      </c>
      <c r="P43" s="12" t="s">
        <v>2600</v>
      </c>
      <c r="Q43" s="2">
        <v>0</v>
      </c>
      <c r="R43" s="2">
        <v>59</v>
      </c>
      <c r="S43" s="2" t="s">
        <v>2318</v>
      </c>
      <c r="T43" s="2">
        <v>0</v>
      </c>
      <c r="U43" s="2">
        <v>10000</v>
      </c>
      <c r="W43" s="2" t="e">
        <v>#N/A</v>
      </c>
      <c r="X43" s="2" t="s">
        <v>2617</v>
      </c>
    </row>
    <row r="44" spans="1:24" x14ac:dyDescent="0.25">
      <c r="A44" s="2">
        <f t="shared" si="0"/>
        <v>43</v>
      </c>
      <c r="B44" s="6" t="s">
        <v>432</v>
      </c>
      <c r="C44" s="2">
        <v>0</v>
      </c>
      <c r="D44" s="2">
        <v>10000</v>
      </c>
      <c r="F44" s="2" t="e">
        <f t="shared" si="1"/>
        <v>#N/A</v>
      </c>
      <c r="G44"/>
      <c r="I44" s="2">
        <v>42</v>
      </c>
      <c r="J44" s="2" t="s">
        <v>2292</v>
      </c>
      <c r="K44" s="2">
        <v>42</v>
      </c>
      <c r="O44" s="2">
        <v>0</v>
      </c>
      <c r="P44" s="12" t="s">
        <v>2600</v>
      </c>
      <c r="Q44" s="2">
        <v>0</v>
      </c>
      <c r="R44" s="2">
        <v>60</v>
      </c>
      <c r="S44" s="2" t="s">
        <v>2320</v>
      </c>
      <c r="T44" s="2">
        <v>0</v>
      </c>
      <c r="U44" s="2">
        <v>10000</v>
      </c>
      <c r="W44" s="2">
        <v>46</v>
      </c>
      <c r="X44" s="2" t="s">
        <v>2618</v>
      </c>
    </row>
    <row r="45" spans="1:24" x14ac:dyDescent="0.25">
      <c r="A45" s="2">
        <f t="shared" si="0"/>
        <v>44</v>
      </c>
      <c r="B45" s="2" t="s">
        <v>2293</v>
      </c>
      <c r="C45" s="2">
        <v>0</v>
      </c>
      <c r="D45" s="2">
        <v>10000</v>
      </c>
      <c r="F45" s="2" t="e">
        <f t="shared" si="1"/>
        <v>#N/A</v>
      </c>
      <c r="G45"/>
      <c r="I45" s="2">
        <v>43</v>
      </c>
      <c r="J45" s="2" t="s">
        <v>2294</v>
      </c>
      <c r="K45" s="2">
        <v>43</v>
      </c>
      <c r="O45" s="2">
        <v>0</v>
      </c>
      <c r="P45" s="12" t="s">
        <v>2600</v>
      </c>
      <c r="Q45" s="2">
        <v>0</v>
      </c>
      <c r="R45" s="2">
        <v>72</v>
      </c>
      <c r="S45" s="2" t="s">
        <v>2347</v>
      </c>
      <c r="T45" s="2">
        <v>0</v>
      </c>
      <c r="U45" s="2">
        <v>10000</v>
      </c>
      <c r="W45" s="2" t="e">
        <v>#N/A</v>
      </c>
      <c r="X45" s="2" t="s">
        <v>2619</v>
      </c>
    </row>
    <row r="46" spans="1:24" x14ac:dyDescent="0.25">
      <c r="A46" s="2">
        <f t="shared" si="0"/>
        <v>45</v>
      </c>
      <c r="B46" s="2" t="s">
        <v>2281</v>
      </c>
      <c r="C46" s="2">
        <v>0</v>
      </c>
      <c r="D46" s="2">
        <v>10000</v>
      </c>
      <c r="F46" s="2">
        <f t="shared" si="1"/>
        <v>36</v>
      </c>
      <c r="G46"/>
      <c r="I46" s="2">
        <v>44</v>
      </c>
      <c r="J46" s="2" t="s">
        <v>2295</v>
      </c>
      <c r="K46" s="2">
        <v>44</v>
      </c>
      <c r="O46" s="2">
        <v>0</v>
      </c>
      <c r="P46" s="12" t="s">
        <v>2600</v>
      </c>
      <c r="Q46" s="2">
        <v>0</v>
      </c>
      <c r="R46" s="2">
        <v>76</v>
      </c>
      <c r="S46" s="2" t="s">
        <v>2346</v>
      </c>
      <c r="T46" s="2">
        <v>0</v>
      </c>
      <c r="U46" s="2">
        <v>10000</v>
      </c>
      <c r="W46" s="2">
        <v>61</v>
      </c>
      <c r="X46" s="2" t="s">
        <v>2620</v>
      </c>
    </row>
    <row r="47" spans="1:24" x14ac:dyDescent="0.25">
      <c r="A47" s="2">
        <f t="shared" si="0"/>
        <v>46</v>
      </c>
      <c r="B47" s="2" t="s">
        <v>444</v>
      </c>
      <c r="C47" s="2">
        <v>0</v>
      </c>
      <c r="D47" s="2">
        <v>10000</v>
      </c>
      <c r="F47" s="2" t="e">
        <f t="shared" si="1"/>
        <v>#N/A</v>
      </c>
      <c r="G47" t="s">
        <v>2586</v>
      </c>
      <c r="I47" s="2">
        <v>45</v>
      </c>
      <c r="J47" s="2" t="s">
        <v>2296</v>
      </c>
      <c r="K47" s="2">
        <v>45</v>
      </c>
      <c r="O47" s="2">
        <v>0</v>
      </c>
      <c r="P47" s="12" t="s">
        <v>2600</v>
      </c>
      <c r="Q47" s="2">
        <v>0</v>
      </c>
      <c r="R47" s="2">
        <v>77</v>
      </c>
      <c r="S47" s="2" t="s">
        <v>2349</v>
      </c>
      <c r="T47" s="2">
        <v>0</v>
      </c>
      <c r="U47" s="2">
        <v>10000</v>
      </c>
      <c r="W47" s="2" t="e">
        <v>#N/A</v>
      </c>
      <c r="X47" s="2" t="s">
        <v>2621</v>
      </c>
    </row>
    <row r="48" spans="1:24" x14ac:dyDescent="0.25">
      <c r="A48" s="2">
        <f t="shared" si="0"/>
        <v>47</v>
      </c>
      <c r="B48" s="2" t="s">
        <v>521</v>
      </c>
      <c r="C48" s="2">
        <v>0</v>
      </c>
      <c r="D48" s="2">
        <v>10000</v>
      </c>
      <c r="F48" s="2" t="e">
        <f t="shared" si="1"/>
        <v>#N/A</v>
      </c>
      <c r="G48" t="s">
        <v>2586</v>
      </c>
      <c r="I48" s="2">
        <v>46</v>
      </c>
      <c r="J48" s="2" t="s">
        <v>2297</v>
      </c>
      <c r="K48" s="2">
        <v>46</v>
      </c>
      <c r="O48" s="2">
        <v>0</v>
      </c>
      <c r="P48" s="12" t="s">
        <v>2600</v>
      </c>
      <c r="Q48" s="2">
        <v>0</v>
      </c>
      <c r="R48" s="2">
        <v>78</v>
      </c>
      <c r="S48" s="2" t="s">
        <v>2353</v>
      </c>
      <c r="T48" s="2">
        <v>0</v>
      </c>
      <c r="U48" s="2">
        <v>10000</v>
      </c>
      <c r="W48" s="2" t="e">
        <v>#N/A</v>
      </c>
      <c r="X48" s="2" t="s">
        <v>2622</v>
      </c>
    </row>
    <row r="49" spans="1:24" x14ac:dyDescent="0.25">
      <c r="A49" s="2">
        <f t="shared" si="0"/>
        <v>48</v>
      </c>
      <c r="B49" s="6" t="s">
        <v>2298</v>
      </c>
      <c r="C49" s="2">
        <v>0</v>
      </c>
      <c r="D49" s="2">
        <v>10000</v>
      </c>
      <c r="F49" s="2" t="e">
        <f t="shared" si="1"/>
        <v>#N/A</v>
      </c>
      <c r="G49" t="s">
        <v>2586</v>
      </c>
      <c r="I49" s="2">
        <v>47</v>
      </c>
      <c r="J49" s="2" t="s">
        <v>2299</v>
      </c>
      <c r="K49" s="2">
        <v>47</v>
      </c>
      <c r="O49" s="2">
        <v>0</v>
      </c>
      <c r="P49" s="12" t="s">
        <v>2600</v>
      </c>
      <c r="Q49" s="2">
        <v>0</v>
      </c>
      <c r="R49" s="2">
        <v>79</v>
      </c>
      <c r="S49" s="2" t="s">
        <v>2350</v>
      </c>
      <c r="T49" s="2">
        <v>0</v>
      </c>
      <c r="U49" s="2">
        <v>10000</v>
      </c>
      <c r="W49" s="2">
        <v>64</v>
      </c>
      <c r="X49" s="2" t="s">
        <v>2623</v>
      </c>
    </row>
    <row r="50" spans="1:24" x14ac:dyDescent="0.25">
      <c r="A50" s="2">
        <f t="shared" si="0"/>
        <v>49</v>
      </c>
      <c r="B50" s="2" t="s">
        <v>2300</v>
      </c>
      <c r="C50" s="2">
        <v>0</v>
      </c>
      <c r="D50" s="2">
        <v>10000</v>
      </c>
      <c r="F50" s="2" t="e">
        <f t="shared" si="1"/>
        <v>#N/A</v>
      </c>
      <c r="G50" t="s">
        <v>2586</v>
      </c>
      <c r="I50" s="2">
        <v>48</v>
      </c>
      <c r="J50" s="2" t="s">
        <v>2301</v>
      </c>
      <c r="K50" s="2">
        <v>48</v>
      </c>
      <c r="O50" s="2">
        <v>0</v>
      </c>
      <c r="P50" s="2" t="s">
        <v>2594</v>
      </c>
      <c r="Q50" s="2">
        <v>1</v>
      </c>
      <c r="R50" s="2">
        <v>4</v>
      </c>
      <c r="S50" s="2" t="s">
        <v>2222</v>
      </c>
      <c r="T50" s="2">
        <v>0</v>
      </c>
      <c r="U50" s="2">
        <v>10000</v>
      </c>
      <c r="W50" s="2" t="e">
        <v>#N/A</v>
      </c>
      <c r="X50" s="2" t="s">
        <v>2222</v>
      </c>
    </row>
    <row r="51" spans="1:24" x14ac:dyDescent="0.25">
      <c r="A51" s="2">
        <f t="shared" si="0"/>
        <v>50</v>
      </c>
      <c r="B51" s="2" t="s">
        <v>2302</v>
      </c>
      <c r="C51" s="2">
        <v>0</v>
      </c>
      <c r="D51" s="2">
        <v>10000</v>
      </c>
      <c r="F51" s="2" t="e">
        <f t="shared" si="1"/>
        <v>#N/A</v>
      </c>
      <c r="G51" t="s">
        <v>2586</v>
      </c>
      <c r="I51" s="2">
        <v>49</v>
      </c>
      <c r="J51" s="2" t="s">
        <v>2303</v>
      </c>
      <c r="K51" s="2">
        <v>49</v>
      </c>
      <c r="O51" s="2">
        <v>0</v>
      </c>
      <c r="P51" s="2" t="s">
        <v>2227</v>
      </c>
      <c r="Q51" s="2">
        <v>2</v>
      </c>
      <c r="R51" s="2">
        <v>7</v>
      </c>
      <c r="S51" s="2" t="s">
        <v>2227</v>
      </c>
      <c r="T51" s="2">
        <v>0</v>
      </c>
      <c r="U51" s="2">
        <v>10000</v>
      </c>
      <c r="W51" s="2">
        <v>13</v>
      </c>
      <c r="X51" s="2" t="s">
        <v>2227</v>
      </c>
    </row>
    <row r="52" spans="1:24" x14ac:dyDescent="0.25">
      <c r="A52" s="2">
        <f t="shared" si="0"/>
        <v>51</v>
      </c>
      <c r="B52" s="2" t="s">
        <v>2304</v>
      </c>
      <c r="C52" s="2">
        <v>0</v>
      </c>
      <c r="D52" s="2">
        <v>10000</v>
      </c>
      <c r="F52" s="2" t="e">
        <f t="shared" si="1"/>
        <v>#N/A</v>
      </c>
      <c r="G52" t="s">
        <v>2586</v>
      </c>
      <c r="I52" s="2">
        <v>50</v>
      </c>
      <c r="J52" s="2" t="s">
        <v>2305</v>
      </c>
      <c r="K52" s="2">
        <v>50</v>
      </c>
      <c r="O52" s="2">
        <v>0</v>
      </c>
      <c r="P52" s="2" t="s">
        <v>2227</v>
      </c>
      <c r="Q52" s="2">
        <v>2</v>
      </c>
      <c r="R52" s="2">
        <v>8</v>
      </c>
      <c r="S52" s="2" t="s">
        <v>2229</v>
      </c>
      <c r="T52" s="2">
        <v>0</v>
      </c>
      <c r="U52" s="2">
        <v>36</v>
      </c>
      <c r="V52" s="2" t="s">
        <v>277</v>
      </c>
      <c r="W52" s="2">
        <v>9</v>
      </c>
      <c r="X52" s="2" t="s">
        <v>2626</v>
      </c>
    </row>
    <row r="53" spans="1:24" x14ac:dyDescent="0.25">
      <c r="A53" s="2">
        <f t="shared" si="0"/>
        <v>52</v>
      </c>
      <c r="B53" s="2" t="s">
        <v>941</v>
      </c>
      <c r="C53" s="2">
        <v>0</v>
      </c>
      <c r="D53" s="2">
        <v>10000</v>
      </c>
      <c r="F53" s="2" t="e">
        <f t="shared" si="1"/>
        <v>#N/A</v>
      </c>
      <c r="G53" t="s">
        <v>2227</v>
      </c>
      <c r="I53" s="2">
        <v>51</v>
      </c>
      <c r="J53" s="2" t="s">
        <v>2306</v>
      </c>
      <c r="K53" s="2">
        <v>51</v>
      </c>
      <c r="O53" s="2">
        <v>0</v>
      </c>
      <c r="P53" s="2" t="s">
        <v>2227</v>
      </c>
      <c r="Q53" s="2">
        <v>2</v>
      </c>
      <c r="R53" s="2">
        <v>9</v>
      </c>
      <c r="S53" s="2" t="s">
        <v>2231</v>
      </c>
      <c r="T53" s="2">
        <v>37</v>
      </c>
      <c r="U53" s="2">
        <v>10000</v>
      </c>
      <c r="V53" s="2" t="s">
        <v>277</v>
      </c>
      <c r="W53" s="2">
        <v>10</v>
      </c>
      <c r="X53" s="2" t="s">
        <v>2627</v>
      </c>
    </row>
    <row r="54" spans="1:24" x14ac:dyDescent="0.25">
      <c r="A54" s="2">
        <f t="shared" si="0"/>
        <v>53</v>
      </c>
      <c r="B54" s="6" t="s">
        <v>2307</v>
      </c>
      <c r="C54" s="2">
        <v>0</v>
      </c>
      <c r="D54" s="2">
        <v>10000</v>
      </c>
      <c r="F54" s="2" t="e">
        <f t="shared" si="1"/>
        <v>#N/A</v>
      </c>
      <c r="G54" t="s">
        <v>2587</v>
      </c>
      <c r="I54" s="2">
        <v>52</v>
      </c>
      <c r="J54" s="2" t="s">
        <v>2308</v>
      </c>
      <c r="K54" s="2">
        <v>52</v>
      </c>
      <c r="O54" s="2">
        <v>0</v>
      </c>
      <c r="P54" s="2" t="s">
        <v>2227</v>
      </c>
      <c r="Q54" s="2">
        <v>2</v>
      </c>
      <c r="R54" s="2">
        <v>10</v>
      </c>
      <c r="S54" s="2" t="s">
        <v>2233</v>
      </c>
      <c r="T54" s="2">
        <v>0</v>
      </c>
      <c r="U54" s="2">
        <v>24</v>
      </c>
      <c r="V54" s="2" t="s">
        <v>281</v>
      </c>
      <c r="W54" s="2">
        <v>11</v>
      </c>
      <c r="X54" s="2" t="s">
        <v>2628</v>
      </c>
    </row>
    <row r="55" spans="1:24" x14ac:dyDescent="0.25">
      <c r="A55" s="2">
        <f t="shared" si="0"/>
        <v>54</v>
      </c>
      <c r="B55" s="6" t="s">
        <v>1293</v>
      </c>
      <c r="C55" s="2">
        <v>0</v>
      </c>
      <c r="D55" s="2">
        <v>10000</v>
      </c>
      <c r="F55" s="2" t="e">
        <f t="shared" si="1"/>
        <v>#N/A</v>
      </c>
      <c r="G55" t="s">
        <v>2587</v>
      </c>
      <c r="I55" s="2">
        <v>53</v>
      </c>
      <c r="J55" s="2" t="s">
        <v>2309</v>
      </c>
      <c r="K55" s="2">
        <v>53</v>
      </c>
      <c r="O55" s="2">
        <v>0</v>
      </c>
      <c r="P55" s="2" t="s">
        <v>2227</v>
      </c>
      <c r="Q55" s="2">
        <v>2</v>
      </c>
      <c r="R55" s="2">
        <v>11</v>
      </c>
      <c r="S55" s="2" t="s">
        <v>2235</v>
      </c>
      <c r="T55" s="2">
        <v>25</v>
      </c>
      <c r="U55" s="2">
        <v>10000</v>
      </c>
      <c r="V55" s="2" t="s">
        <v>281</v>
      </c>
      <c r="W55" s="2">
        <v>12</v>
      </c>
      <c r="X55" s="2" t="s">
        <v>2629</v>
      </c>
    </row>
    <row r="56" spans="1:24" x14ac:dyDescent="0.25">
      <c r="A56" s="2">
        <f t="shared" si="0"/>
        <v>55</v>
      </c>
      <c r="B56" s="6" t="s">
        <v>2310</v>
      </c>
      <c r="C56" s="2">
        <v>0</v>
      </c>
      <c r="D56" s="2">
        <v>10000</v>
      </c>
      <c r="F56" s="2" t="e">
        <f t="shared" si="1"/>
        <v>#N/A</v>
      </c>
      <c r="G56" t="s">
        <v>2587</v>
      </c>
      <c r="I56" s="2">
        <v>54</v>
      </c>
      <c r="J56" s="2" t="s">
        <v>2311</v>
      </c>
      <c r="K56" s="2">
        <v>54</v>
      </c>
      <c r="O56" s="2">
        <v>0</v>
      </c>
      <c r="P56" s="2" t="s">
        <v>2593</v>
      </c>
      <c r="Q56" s="2">
        <v>3</v>
      </c>
      <c r="R56" s="2">
        <v>14</v>
      </c>
      <c r="S56" s="2" t="s">
        <v>2237</v>
      </c>
      <c r="T56" s="2">
        <v>0</v>
      </c>
      <c r="U56" s="2">
        <v>13</v>
      </c>
      <c r="V56" s="2" t="s">
        <v>295</v>
      </c>
      <c r="W56" s="2">
        <v>14</v>
      </c>
      <c r="X56" s="2" t="s">
        <v>2237</v>
      </c>
    </row>
    <row r="57" spans="1:24" x14ac:dyDescent="0.25">
      <c r="A57" s="2">
        <f t="shared" si="0"/>
        <v>56</v>
      </c>
      <c r="B57" s="2" t="s">
        <v>2312</v>
      </c>
      <c r="C57" s="2">
        <v>0</v>
      </c>
      <c r="D57" s="2">
        <v>10000</v>
      </c>
      <c r="F57" s="2" t="e">
        <f t="shared" si="1"/>
        <v>#N/A</v>
      </c>
      <c r="G57" t="s">
        <v>2588</v>
      </c>
      <c r="I57" s="2">
        <v>55</v>
      </c>
      <c r="J57" s="2" t="s">
        <v>2313</v>
      </c>
      <c r="K57" s="2">
        <v>55</v>
      </c>
      <c r="O57" s="2">
        <v>0</v>
      </c>
      <c r="P57" s="2" t="s">
        <v>2593</v>
      </c>
      <c r="Q57" s="2">
        <v>3</v>
      </c>
      <c r="R57" s="2">
        <v>15</v>
      </c>
      <c r="S57" s="2" t="s">
        <v>2239</v>
      </c>
      <c r="T57" s="2">
        <v>21</v>
      </c>
      <c r="U57" s="2">
        <v>36</v>
      </c>
      <c r="V57" s="2" t="s">
        <v>295</v>
      </c>
      <c r="W57" s="2" t="e">
        <v>#N/A</v>
      </c>
      <c r="X57" s="2" t="s">
        <v>2631</v>
      </c>
    </row>
    <row r="58" spans="1:24" x14ac:dyDescent="0.25">
      <c r="A58" s="2">
        <f t="shared" si="0"/>
        <v>57</v>
      </c>
      <c r="B58" s="6" t="s">
        <v>2314</v>
      </c>
      <c r="C58" s="2">
        <v>0</v>
      </c>
      <c r="D58" s="2">
        <v>10000</v>
      </c>
      <c r="F58" s="2" t="e">
        <f t="shared" si="1"/>
        <v>#N/A</v>
      </c>
      <c r="G58" t="s">
        <v>2588</v>
      </c>
      <c r="I58" s="2">
        <v>56</v>
      </c>
      <c r="J58" s="2" t="s">
        <v>2315</v>
      </c>
      <c r="K58" s="2">
        <v>56</v>
      </c>
      <c r="O58" s="2">
        <v>0</v>
      </c>
      <c r="P58" s="2" t="s">
        <v>2593</v>
      </c>
      <c r="Q58" s="2">
        <v>3</v>
      </c>
      <c r="R58" s="2">
        <v>16</v>
      </c>
      <c r="S58" s="2" t="s">
        <v>2241</v>
      </c>
      <c r="T58" s="2">
        <v>37</v>
      </c>
      <c r="U58" s="2">
        <v>86</v>
      </c>
      <c r="V58" s="2" t="s">
        <v>295</v>
      </c>
      <c r="W58" s="2" t="e">
        <v>#N/A</v>
      </c>
      <c r="X58" s="2" t="s">
        <v>2632</v>
      </c>
    </row>
    <row r="59" spans="1:24" x14ac:dyDescent="0.25">
      <c r="A59" s="2">
        <f t="shared" si="0"/>
        <v>58</v>
      </c>
      <c r="B59" s="6" t="s">
        <v>2316</v>
      </c>
      <c r="C59" s="2">
        <v>0</v>
      </c>
      <c r="D59" s="2">
        <v>10000</v>
      </c>
      <c r="F59" s="2" t="e">
        <f t="shared" si="1"/>
        <v>#N/A</v>
      </c>
      <c r="G59" t="s">
        <v>2588</v>
      </c>
      <c r="I59" s="2">
        <v>57</v>
      </c>
      <c r="J59" s="2" t="s">
        <v>2317</v>
      </c>
      <c r="K59" s="2">
        <v>57</v>
      </c>
      <c r="O59" s="2">
        <v>0</v>
      </c>
      <c r="P59" s="2" t="s">
        <v>2593</v>
      </c>
      <c r="Q59" s="2">
        <v>3</v>
      </c>
      <c r="R59" s="2">
        <v>17</v>
      </c>
      <c r="S59" s="2" t="s">
        <v>2243</v>
      </c>
      <c r="T59" s="2">
        <v>0</v>
      </c>
      <c r="U59" s="2">
        <v>10000</v>
      </c>
      <c r="V59" s="2" t="s">
        <v>301</v>
      </c>
      <c r="W59" s="2">
        <v>16</v>
      </c>
      <c r="X59" s="2" t="s">
        <v>2633</v>
      </c>
    </row>
    <row r="60" spans="1:24" x14ac:dyDescent="0.25">
      <c r="A60" s="2">
        <f t="shared" si="0"/>
        <v>59</v>
      </c>
      <c r="B60" s="2" t="s">
        <v>2318</v>
      </c>
      <c r="C60" s="2">
        <v>0</v>
      </c>
      <c r="D60" s="2">
        <v>10000</v>
      </c>
      <c r="F60" s="2" t="e">
        <f t="shared" si="1"/>
        <v>#N/A</v>
      </c>
      <c r="G60"/>
      <c r="I60" s="2">
        <v>58</v>
      </c>
      <c r="J60" s="2" t="s">
        <v>2319</v>
      </c>
      <c r="K60" s="2">
        <v>58</v>
      </c>
      <c r="O60" s="2">
        <v>0</v>
      </c>
      <c r="P60" s="2" t="s">
        <v>2593</v>
      </c>
      <c r="Q60" s="2">
        <v>3</v>
      </c>
      <c r="R60" s="2">
        <v>18</v>
      </c>
      <c r="S60" s="2" t="s">
        <v>2244</v>
      </c>
      <c r="T60" s="2">
        <v>0</v>
      </c>
      <c r="U60" s="2">
        <v>10000</v>
      </c>
      <c r="V60" s="2" t="s">
        <v>306</v>
      </c>
      <c r="W60" s="2" t="e">
        <v>#N/A</v>
      </c>
      <c r="X60" s="2" t="s">
        <v>2634</v>
      </c>
    </row>
    <row r="61" spans="1:24" x14ac:dyDescent="0.25">
      <c r="A61" s="2">
        <f t="shared" si="0"/>
        <v>60</v>
      </c>
      <c r="B61" s="2" t="s">
        <v>2320</v>
      </c>
      <c r="C61" s="2">
        <v>0</v>
      </c>
      <c r="D61" s="2">
        <v>10000</v>
      </c>
      <c r="F61" s="2">
        <f t="shared" si="1"/>
        <v>46</v>
      </c>
      <c r="G61"/>
      <c r="I61" s="2">
        <v>59</v>
      </c>
      <c r="J61" s="2" t="s">
        <v>2321</v>
      </c>
      <c r="K61" s="2">
        <v>59</v>
      </c>
      <c r="O61" s="2">
        <v>0</v>
      </c>
      <c r="P61" s="2" t="s">
        <v>2592</v>
      </c>
      <c r="Q61" s="2">
        <v>16</v>
      </c>
      <c r="R61" s="2">
        <v>13</v>
      </c>
      <c r="S61" s="2" t="s">
        <v>2236</v>
      </c>
      <c r="T61" s="2">
        <v>0</v>
      </c>
      <c r="U61" s="2">
        <v>10000</v>
      </c>
      <c r="V61" s="2" t="s">
        <v>291</v>
      </c>
      <c r="W61" s="2" t="e">
        <v>#N/A</v>
      </c>
      <c r="X61" s="2" t="s">
        <v>2236</v>
      </c>
    </row>
    <row r="62" spans="1:24" x14ac:dyDescent="0.25">
      <c r="A62" s="2">
        <f t="shared" si="0"/>
        <v>61</v>
      </c>
      <c r="B62" s="2" t="s">
        <v>2322</v>
      </c>
      <c r="C62" s="2">
        <v>0</v>
      </c>
      <c r="D62" s="2">
        <v>10000</v>
      </c>
      <c r="F62" s="2" t="e">
        <f t="shared" si="1"/>
        <v>#N/A</v>
      </c>
      <c r="G62" t="s">
        <v>2589</v>
      </c>
      <c r="I62" s="2">
        <v>60</v>
      </c>
      <c r="J62" s="2" t="s">
        <v>2323</v>
      </c>
      <c r="K62" s="2">
        <v>60</v>
      </c>
      <c r="O62" s="2">
        <v>0</v>
      </c>
      <c r="P62" s="2" t="s">
        <v>2592</v>
      </c>
      <c r="Q62" s="2">
        <v>16</v>
      </c>
      <c r="R62" s="2">
        <v>32</v>
      </c>
      <c r="S62" s="2" t="s">
        <v>2271</v>
      </c>
      <c r="T62" s="2">
        <v>0</v>
      </c>
      <c r="U62" s="2">
        <v>10000</v>
      </c>
      <c r="W62" s="2" t="e">
        <v>#N/A</v>
      </c>
      <c r="X62" s="2" t="s">
        <v>2636</v>
      </c>
    </row>
    <row r="63" spans="1:24" x14ac:dyDescent="0.25">
      <c r="A63" s="2">
        <f t="shared" si="0"/>
        <v>62</v>
      </c>
      <c r="B63" s="2" t="s">
        <v>2324</v>
      </c>
      <c r="C63" s="2">
        <v>0</v>
      </c>
      <c r="D63" s="2">
        <v>10000</v>
      </c>
      <c r="F63" s="2">
        <f t="shared" si="1"/>
        <v>49</v>
      </c>
      <c r="G63" t="s">
        <v>2589</v>
      </c>
      <c r="I63" s="2">
        <v>61</v>
      </c>
      <c r="J63" s="2" t="s">
        <v>2325</v>
      </c>
      <c r="K63" s="2">
        <v>61</v>
      </c>
      <c r="O63" s="2">
        <v>0</v>
      </c>
      <c r="P63" s="2" t="s">
        <v>2592</v>
      </c>
      <c r="Q63" s="2">
        <v>16</v>
      </c>
      <c r="R63" s="2">
        <v>34</v>
      </c>
      <c r="S63" s="2" t="s">
        <v>2275</v>
      </c>
      <c r="T63" s="2">
        <v>0</v>
      </c>
      <c r="U63" s="2">
        <v>10000</v>
      </c>
      <c r="V63" s="2" t="s">
        <v>355</v>
      </c>
      <c r="W63" s="2" t="e">
        <v>#N/A</v>
      </c>
      <c r="X63" s="2" t="s">
        <v>2637</v>
      </c>
    </row>
    <row r="64" spans="1:24" x14ac:dyDescent="0.25">
      <c r="A64" s="2">
        <f t="shared" si="0"/>
        <v>63</v>
      </c>
      <c r="B64" s="2" t="s">
        <v>2326</v>
      </c>
      <c r="C64" s="2">
        <v>0</v>
      </c>
      <c r="D64" s="2">
        <v>10000</v>
      </c>
      <c r="F64" s="2">
        <f t="shared" si="1"/>
        <v>51</v>
      </c>
      <c r="G64" t="s">
        <v>2590</v>
      </c>
      <c r="I64" s="2">
        <v>62</v>
      </c>
      <c r="J64" s="2" t="s">
        <v>2327</v>
      </c>
      <c r="K64" s="2">
        <v>62</v>
      </c>
      <c r="O64" s="2">
        <v>0</v>
      </c>
      <c r="P64" s="2" t="s">
        <v>2592</v>
      </c>
      <c r="Q64" s="2">
        <v>16</v>
      </c>
      <c r="R64" s="2">
        <v>35</v>
      </c>
      <c r="S64" s="2" t="s">
        <v>2276</v>
      </c>
      <c r="T64" s="2">
        <v>0</v>
      </c>
      <c r="U64" s="2">
        <v>10000</v>
      </c>
      <c r="W64" s="2">
        <v>33</v>
      </c>
      <c r="X64" s="2" t="s">
        <v>2638</v>
      </c>
    </row>
    <row r="65" spans="1:24" x14ac:dyDescent="0.25">
      <c r="A65" s="2">
        <f t="shared" si="0"/>
        <v>64</v>
      </c>
      <c r="B65" s="2" t="s">
        <v>2328</v>
      </c>
      <c r="C65" s="2">
        <v>0</v>
      </c>
      <c r="D65" s="2">
        <v>10000</v>
      </c>
      <c r="F65" s="2" t="e">
        <f t="shared" si="1"/>
        <v>#N/A</v>
      </c>
      <c r="G65" t="s">
        <v>2590</v>
      </c>
      <c r="I65" s="2">
        <v>63</v>
      </c>
      <c r="J65" s="2" t="s">
        <v>2329</v>
      </c>
      <c r="K65" s="2">
        <v>63</v>
      </c>
      <c r="O65" s="2">
        <v>0</v>
      </c>
      <c r="P65" s="2" t="s">
        <v>2586</v>
      </c>
      <c r="Q65" s="2">
        <v>17</v>
      </c>
      <c r="R65" s="2">
        <v>46</v>
      </c>
      <c r="S65" s="2" t="s">
        <v>444</v>
      </c>
      <c r="T65" s="2">
        <v>0</v>
      </c>
      <c r="U65" s="2">
        <v>10000</v>
      </c>
      <c r="W65" s="2" t="e">
        <v>#N/A</v>
      </c>
      <c r="X65" s="2" t="s">
        <v>444</v>
      </c>
    </row>
    <row r="66" spans="1:24" x14ac:dyDescent="0.25">
      <c r="A66" s="2">
        <f t="shared" si="0"/>
        <v>65</v>
      </c>
      <c r="B66" s="2" t="s">
        <v>2330</v>
      </c>
      <c r="C66" s="2">
        <v>0</v>
      </c>
      <c r="D66" s="2">
        <v>10000</v>
      </c>
      <c r="F66" s="2" t="e">
        <f t="shared" si="1"/>
        <v>#N/A</v>
      </c>
      <c r="G66" t="s">
        <v>2590</v>
      </c>
      <c r="I66" s="2">
        <v>64</v>
      </c>
      <c r="J66" s="2" t="s">
        <v>2331</v>
      </c>
      <c r="K66" s="2">
        <v>64</v>
      </c>
      <c r="O66" s="2">
        <v>0</v>
      </c>
      <c r="P66" s="2" t="s">
        <v>2586</v>
      </c>
      <c r="Q66" s="2">
        <v>17</v>
      </c>
      <c r="R66" s="2">
        <v>47</v>
      </c>
      <c r="S66" s="2" t="s">
        <v>521</v>
      </c>
      <c r="T66" s="2">
        <v>0</v>
      </c>
      <c r="U66" s="2">
        <v>10000</v>
      </c>
      <c r="W66" s="2" t="e">
        <v>#N/A</v>
      </c>
      <c r="X66" s="2" t="s">
        <v>2640</v>
      </c>
    </row>
    <row r="67" spans="1:24" x14ac:dyDescent="0.25">
      <c r="A67" s="2">
        <f t="shared" si="0"/>
        <v>66</v>
      </c>
      <c r="B67" s="2" t="s">
        <v>2332</v>
      </c>
      <c r="C67" s="2">
        <v>0</v>
      </c>
      <c r="D67" s="2">
        <v>10000</v>
      </c>
      <c r="F67" s="2">
        <f t="shared" ref="F67:F85" si="3">VLOOKUP(B67,$J$3:$K$72,2,FALSE)</f>
        <v>53</v>
      </c>
      <c r="G67" t="s">
        <v>2590</v>
      </c>
      <c r="I67" s="2">
        <v>65</v>
      </c>
      <c r="J67" s="2" t="s">
        <v>2333</v>
      </c>
      <c r="K67" s="2">
        <v>65</v>
      </c>
      <c r="O67" s="2">
        <v>0</v>
      </c>
      <c r="P67" s="2" t="s">
        <v>2586</v>
      </c>
      <c r="Q67" s="2">
        <v>17</v>
      </c>
      <c r="R67" s="2">
        <v>48</v>
      </c>
      <c r="S67" s="2" t="s">
        <v>2298</v>
      </c>
      <c r="T67" s="2">
        <v>0</v>
      </c>
      <c r="U67" s="2">
        <v>10000</v>
      </c>
      <c r="W67" s="2" t="e">
        <v>#N/A</v>
      </c>
      <c r="X67" s="2" t="s">
        <v>2641</v>
      </c>
    </row>
    <row r="68" spans="1:24" x14ac:dyDescent="0.25">
      <c r="A68" s="2">
        <f t="shared" ref="A68:A84" si="4">A67+1</f>
        <v>67</v>
      </c>
      <c r="B68" s="2" t="s">
        <v>2334</v>
      </c>
      <c r="C68" s="2">
        <v>0</v>
      </c>
      <c r="D68" s="2">
        <v>10000</v>
      </c>
      <c r="F68" s="2">
        <f t="shared" si="3"/>
        <v>54</v>
      </c>
      <c r="G68" t="s">
        <v>2590</v>
      </c>
      <c r="I68" s="2">
        <v>66</v>
      </c>
      <c r="J68" s="2" t="s">
        <v>2335</v>
      </c>
      <c r="K68" s="2">
        <v>66</v>
      </c>
      <c r="O68" s="2">
        <v>0</v>
      </c>
      <c r="P68" s="2" t="s">
        <v>2586</v>
      </c>
      <c r="Q68" s="2">
        <v>17</v>
      </c>
      <c r="R68" s="2">
        <v>49</v>
      </c>
      <c r="S68" s="2" t="s">
        <v>2300</v>
      </c>
      <c r="T68" s="2">
        <v>0</v>
      </c>
      <c r="U68" s="2">
        <v>10000</v>
      </c>
      <c r="W68" s="2" t="e">
        <v>#N/A</v>
      </c>
      <c r="X68" s="2" t="s">
        <v>2642</v>
      </c>
    </row>
    <row r="69" spans="1:24" x14ac:dyDescent="0.25">
      <c r="A69" s="2">
        <f t="shared" si="4"/>
        <v>68</v>
      </c>
      <c r="B69" s="2" t="s">
        <v>2336</v>
      </c>
      <c r="C69" s="2">
        <v>0</v>
      </c>
      <c r="D69" s="2">
        <v>10000</v>
      </c>
      <c r="F69" s="2" t="e">
        <f t="shared" si="3"/>
        <v>#N/A</v>
      </c>
      <c r="G69" t="s">
        <v>2591</v>
      </c>
      <c r="I69" s="2">
        <v>67</v>
      </c>
      <c r="J69" s="2" t="s">
        <v>2337</v>
      </c>
      <c r="K69" s="2">
        <v>67</v>
      </c>
      <c r="O69" s="2">
        <v>0</v>
      </c>
      <c r="P69" s="2" t="s">
        <v>2586</v>
      </c>
      <c r="Q69" s="2">
        <v>17</v>
      </c>
      <c r="R69" s="2">
        <v>50</v>
      </c>
      <c r="S69" s="2" t="s">
        <v>2302</v>
      </c>
      <c r="T69" s="2">
        <v>0</v>
      </c>
      <c r="U69" s="2">
        <v>10000</v>
      </c>
      <c r="W69" s="2" t="e">
        <v>#N/A</v>
      </c>
      <c r="X69" s="2" t="s">
        <v>2643</v>
      </c>
    </row>
    <row r="70" spans="1:24" x14ac:dyDescent="0.25">
      <c r="A70" s="2">
        <f t="shared" si="4"/>
        <v>69</v>
      </c>
      <c r="B70" s="2" t="s">
        <v>2338</v>
      </c>
      <c r="C70" s="2">
        <v>0</v>
      </c>
      <c r="D70" s="2">
        <v>10000</v>
      </c>
      <c r="F70" s="2">
        <f t="shared" si="3"/>
        <v>55</v>
      </c>
      <c r="G70" t="s">
        <v>2590</v>
      </c>
      <c r="I70" s="2">
        <v>68</v>
      </c>
      <c r="J70" s="2" t="s">
        <v>2339</v>
      </c>
      <c r="K70" s="2">
        <v>68</v>
      </c>
      <c r="O70" s="2">
        <v>0</v>
      </c>
      <c r="P70" s="2" t="s">
        <v>2587</v>
      </c>
      <c r="Q70" s="2">
        <v>18</v>
      </c>
      <c r="R70" s="2">
        <v>53</v>
      </c>
      <c r="S70" s="2" t="s">
        <v>2307</v>
      </c>
      <c r="T70" s="2">
        <v>0</v>
      </c>
      <c r="U70" s="2">
        <v>10000</v>
      </c>
      <c r="W70" s="2" t="e">
        <v>#N/A</v>
      </c>
      <c r="X70" s="2" t="s">
        <v>2307</v>
      </c>
    </row>
    <row r="71" spans="1:24" x14ac:dyDescent="0.25">
      <c r="A71" s="2">
        <f t="shared" si="4"/>
        <v>70</v>
      </c>
      <c r="B71" s="2" t="s">
        <v>2340</v>
      </c>
      <c r="C71" s="2">
        <v>0</v>
      </c>
      <c r="D71" s="2">
        <v>10000</v>
      </c>
      <c r="F71" s="2" t="e">
        <f t="shared" si="3"/>
        <v>#N/A</v>
      </c>
      <c r="G71" t="s">
        <v>2590</v>
      </c>
      <c r="I71" s="2">
        <v>69</v>
      </c>
      <c r="J71" s="2" t="s">
        <v>2341</v>
      </c>
      <c r="K71" s="2">
        <v>69</v>
      </c>
      <c r="O71" s="2">
        <v>0</v>
      </c>
      <c r="P71" s="2" t="s">
        <v>2587</v>
      </c>
      <c r="Q71" s="2">
        <v>18</v>
      </c>
      <c r="R71" s="2">
        <v>54</v>
      </c>
      <c r="S71" s="2" t="s">
        <v>1293</v>
      </c>
      <c r="T71" s="2">
        <v>0</v>
      </c>
      <c r="U71" s="2">
        <v>10000</v>
      </c>
      <c r="W71" s="2" t="e">
        <v>#N/A</v>
      </c>
      <c r="X71" s="2" t="s">
        <v>2645</v>
      </c>
    </row>
    <row r="72" spans="1:24" x14ac:dyDescent="0.25">
      <c r="A72" s="2">
        <f t="shared" si="4"/>
        <v>71</v>
      </c>
      <c r="B72" s="2" t="s">
        <v>2348</v>
      </c>
      <c r="C72" s="2">
        <v>0</v>
      </c>
      <c r="D72" s="2">
        <v>10000</v>
      </c>
      <c r="F72" s="2" t="e">
        <f t="shared" si="3"/>
        <v>#N/A</v>
      </c>
      <c r="G72" t="s">
        <v>2590</v>
      </c>
      <c r="I72" s="2">
        <v>70</v>
      </c>
      <c r="J72" s="2" t="s">
        <v>2343</v>
      </c>
      <c r="K72" s="2">
        <v>70</v>
      </c>
      <c r="O72" s="2">
        <v>0</v>
      </c>
      <c r="P72" s="2" t="s">
        <v>2588</v>
      </c>
      <c r="Q72" s="2">
        <v>19</v>
      </c>
      <c r="R72" s="2">
        <v>56</v>
      </c>
      <c r="S72" s="2" t="s">
        <v>2312</v>
      </c>
      <c r="T72" s="2">
        <v>0</v>
      </c>
      <c r="U72" s="2">
        <v>10000</v>
      </c>
      <c r="W72" s="2" t="e">
        <v>#N/A</v>
      </c>
      <c r="X72" s="2" t="s">
        <v>2312</v>
      </c>
    </row>
    <row r="73" spans="1:24" x14ac:dyDescent="0.25">
      <c r="A73" s="2">
        <f t="shared" si="4"/>
        <v>72</v>
      </c>
      <c r="B73" s="2" t="s">
        <v>2347</v>
      </c>
      <c r="C73" s="2">
        <v>0</v>
      </c>
      <c r="D73" s="2">
        <v>10000</v>
      </c>
      <c r="F73" s="2" t="e">
        <f t="shared" si="3"/>
        <v>#N/A</v>
      </c>
      <c r="G73"/>
      <c r="O73" s="2">
        <v>0</v>
      </c>
      <c r="P73" s="2" t="s">
        <v>2588</v>
      </c>
      <c r="Q73" s="2">
        <v>19</v>
      </c>
      <c r="R73" s="2">
        <v>57</v>
      </c>
      <c r="S73" s="2" t="s">
        <v>2314</v>
      </c>
      <c r="T73" s="2">
        <v>0</v>
      </c>
      <c r="U73" s="2">
        <v>10000</v>
      </c>
      <c r="W73" s="2" t="e">
        <v>#N/A</v>
      </c>
      <c r="X73" s="2" t="s">
        <v>2647</v>
      </c>
    </row>
    <row r="74" spans="1:24" x14ac:dyDescent="0.25">
      <c r="A74" s="2">
        <f t="shared" si="4"/>
        <v>73</v>
      </c>
      <c r="B74" s="2" t="s">
        <v>2579</v>
      </c>
      <c r="C74" s="2">
        <v>0</v>
      </c>
      <c r="D74" s="2">
        <v>10000</v>
      </c>
      <c r="F74" s="2" t="e">
        <f t="shared" si="3"/>
        <v>#N/A</v>
      </c>
      <c r="G74" t="s">
        <v>27</v>
      </c>
      <c r="O74" s="2">
        <v>0</v>
      </c>
      <c r="P74" s="12" t="s">
        <v>2596</v>
      </c>
      <c r="Q74" s="2">
        <v>20</v>
      </c>
      <c r="R74" s="2">
        <v>61</v>
      </c>
      <c r="S74" s="2" t="s">
        <v>2322</v>
      </c>
      <c r="T74" s="2">
        <v>0</v>
      </c>
      <c r="U74" s="2">
        <v>10000</v>
      </c>
      <c r="W74" s="2" t="e">
        <v>#N/A</v>
      </c>
      <c r="X74" s="2" t="s">
        <v>2322</v>
      </c>
    </row>
    <row r="75" spans="1:24" x14ac:dyDescent="0.25">
      <c r="A75" s="2">
        <f t="shared" si="4"/>
        <v>74</v>
      </c>
      <c r="B75" s="2" t="s">
        <v>2580</v>
      </c>
      <c r="C75" s="2">
        <v>0</v>
      </c>
      <c r="D75" s="2">
        <v>10000</v>
      </c>
      <c r="F75" s="2" t="e">
        <f t="shared" si="3"/>
        <v>#N/A</v>
      </c>
      <c r="G75" t="s">
        <v>27</v>
      </c>
      <c r="O75" s="2">
        <v>0</v>
      </c>
      <c r="P75" s="2" t="s">
        <v>2598</v>
      </c>
      <c r="Q75" s="2">
        <v>22</v>
      </c>
      <c r="R75" s="2">
        <v>63</v>
      </c>
      <c r="S75" s="2" t="s">
        <v>2326</v>
      </c>
      <c r="T75" s="2">
        <v>0</v>
      </c>
      <c r="U75" s="2">
        <v>10000</v>
      </c>
      <c r="W75" s="2">
        <v>51</v>
      </c>
      <c r="X75" s="2" t="s">
        <v>2326</v>
      </c>
    </row>
    <row r="76" spans="1:24" x14ac:dyDescent="0.25">
      <c r="A76" s="2">
        <f t="shared" si="4"/>
        <v>75</v>
      </c>
      <c r="B76" s="2" t="s">
        <v>2581</v>
      </c>
      <c r="C76" s="2">
        <v>0</v>
      </c>
      <c r="D76" s="2">
        <v>10000</v>
      </c>
      <c r="F76" s="2" t="e">
        <f t="shared" si="3"/>
        <v>#N/A</v>
      </c>
      <c r="G76" t="s">
        <v>27</v>
      </c>
      <c r="O76" s="2">
        <v>0</v>
      </c>
      <c r="P76" s="2" t="s">
        <v>2598</v>
      </c>
      <c r="Q76" s="2">
        <v>22</v>
      </c>
      <c r="R76" s="2">
        <v>64</v>
      </c>
      <c r="S76" s="2" t="s">
        <v>2328</v>
      </c>
      <c r="T76" s="2">
        <v>0</v>
      </c>
      <c r="U76" s="2">
        <v>10000</v>
      </c>
      <c r="W76" s="2" t="e">
        <v>#N/A</v>
      </c>
      <c r="X76" s="2" t="s">
        <v>2650</v>
      </c>
    </row>
    <row r="77" spans="1:24" x14ac:dyDescent="0.25">
      <c r="A77" s="2">
        <f t="shared" si="4"/>
        <v>76</v>
      </c>
      <c r="B77" s="2" t="s">
        <v>2346</v>
      </c>
      <c r="C77" s="2">
        <v>0</v>
      </c>
      <c r="D77" s="2">
        <v>10000</v>
      </c>
      <c r="F77" s="2">
        <f t="shared" si="3"/>
        <v>61</v>
      </c>
      <c r="G77"/>
      <c r="O77" s="2">
        <v>0</v>
      </c>
      <c r="P77" s="2" t="s">
        <v>2598</v>
      </c>
      <c r="Q77" s="2">
        <v>22</v>
      </c>
      <c r="R77" s="2">
        <v>65</v>
      </c>
      <c r="S77" s="2" t="s">
        <v>2330</v>
      </c>
      <c r="T77" s="2">
        <v>0</v>
      </c>
      <c r="U77" s="2">
        <v>10000</v>
      </c>
      <c r="W77" s="2" t="e">
        <v>#N/A</v>
      </c>
      <c r="X77" s="2" t="s">
        <v>2651</v>
      </c>
    </row>
    <row r="78" spans="1:24" x14ac:dyDescent="0.25">
      <c r="A78" s="2">
        <f t="shared" si="4"/>
        <v>77</v>
      </c>
      <c r="B78" s="2" t="s">
        <v>2349</v>
      </c>
      <c r="C78" s="2">
        <v>0</v>
      </c>
      <c r="D78" s="2">
        <v>10000</v>
      </c>
      <c r="F78" s="2" t="e">
        <f t="shared" si="3"/>
        <v>#N/A</v>
      </c>
      <c r="G78"/>
      <c r="O78" s="2">
        <v>0</v>
      </c>
      <c r="P78" s="2" t="s">
        <v>2598</v>
      </c>
      <c r="Q78" s="2">
        <v>22</v>
      </c>
      <c r="R78" s="2">
        <v>66</v>
      </c>
      <c r="S78" s="2" t="s">
        <v>2332</v>
      </c>
      <c r="T78" s="2">
        <v>0</v>
      </c>
      <c r="U78" s="2">
        <v>10000</v>
      </c>
      <c r="W78" s="2">
        <v>53</v>
      </c>
      <c r="X78" s="2" t="s">
        <v>2652</v>
      </c>
    </row>
    <row r="79" spans="1:24" x14ac:dyDescent="0.25">
      <c r="A79" s="2">
        <f t="shared" si="4"/>
        <v>78</v>
      </c>
      <c r="B79" s="2" t="s">
        <v>2353</v>
      </c>
      <c r="C79" s="2">
        <v>0</v>
      </c>
      <c r="D79" s="2">
        <v>10000</v>
      </c>
      <c r="F79" s="2" t="e">
        <f t="shared" si="3"/>
        <v>#N/A</v>
      </c>
      <c r="G79"/>
      <c r="O79" s="2">
        <v>0</v>
      </c>
      <c r="P79" s="2" t="s">
        <v>2598</v>
      </c>
      <c r="Q79" s="2">
        <v>22</v>
      </c>
      <c r="R79" s="2">
        <v>67</v>
      </c>
      <c r="S79" s="2" t="s">
        <v>2334</v>
      </c>
      <c r="T79" s="2">
        <v>0</v>
      </c>
      <c r="U79" s="2">
        <v>10000</v>
      </c>
      <c r="W79" s="2">
        <v>54</v>
      </c>
      <c r="X79" s="2" t="s">
        <v>2653</v>
      </c>
    </row>
    <row r="80" spans="1:24" x14ac:dyDescent="0.25">
      <c r="A80" s="2">
        <f t="shared" si="4"/>
        <v>79</v>
      </c>
      <c r="B80" s="2" t="s">
        <v>2350</v>
      </c>
      <c r="C80" s="2">
        <v>0</v>
      </c>
      <c r="D80" s="2">
        <v>10000</v>
      </c>
      <c r="F80" s="2">
        <f t="shared" si="3"/>
        <v>64</v>
      </c>
      <c r="G80"/>
      <c r="O80" s="2">
        <v>0</v>
      </c>
      <c r="P80" s="2" t="s">
        <v>2598</v>
      </c>
      <c r="Q80" s="2">
        <v>22</v>
      </c>
      <c r="R80" s="2">
        <v>69</v>
      </c>
      <c r="S80" s="2" t="s">
        <v>2338</v>
      </c>
      <c r="T80" s="2">
        <v>0</v>
      </c>
      <c r="U80" s="2">
        <v>10000</v>
      </c>
      <c r="W80" s="2">
        <v>55</v>
      </c>
      <c r="X80" s="2" t="s">
        <v>2654</v>
      </c>
    </row>
    <row r="81" spans="1:24" x14ac:dyDescent="0.25">
      <c r="A81" s="2">
        <f t="shared" si="4"/>
        <v>80</v>
      </c>
      <c r="B81" s="2" t="s">
        <v>2582</v>
      </c>
      <c r="C81" s="2">
        <v>0</v>
      </c>
      <c r="D81" s="2">
        <v>10000</v>
      </c>
      <c r="F81" s="2" t="e">
        <f t="shared" si="3"/>
        <v>#N/A</v>
      </c>
      <c r="G81" t="s">
        <v>2352</v>
      </c>
      <c r="O81" s="2">
        <v>0</v>
      </c>
      <c r="P81" s="2" t="s">
        <v>2598</v>
      </c>
      <c r="Q81" s="2">
        <v>22</v>
      </c>
      <c r="R81" s="2">
        <v>70</v>
      </c>
      <c r="S81" s="2" t="s">
        <v>2340</v>
      </c>
      <c r="T81" s="2">
        <v>0</v>
      </c>
      <c r="U81" s="2">
        <v>10000</v>
      </c>
      <c r="W81" s="2" t="e">
        <v>#N/A</v>
      </c>
      <c r="X81" s="2" t="s">
        <v>2655</v>
      </c>
    </row>
    <row r="82" spans="1:24" x14ac:dyDescent="0.25">
      <c r="A82" s="2">
        <f t="shared" si="4"/>
        <v>81</v>
      </c>
      <c r="B82" s="2" t="s">
        <v>2583</v>
      </c>
      <c r="C82" s="2">
        <v>0</v>
      </c>
      <c r="D82" s="2">
        <v>10000</v>
      </c>
      <c r="F82" s="2" t="e">
        <f t="shared" si="3"/>
        <v>#N/A</v>
      </c>
      <c r="G82" t="s">
        <v>2352</v>
      </c>
      <c r="O82" s="2">
        <v>0</v>
      </c>
      <c r="P82" s="2" t="s">
        <v>27</v>
      </c>
      <c r="Q82" s="2">
        <v>23</v>
      </c>
      <c r="R82" s="2">
        <v>73</v>
      </c>
      <c r="S82" s="2" t="s">
        <v>2579</v>
      </c>
      <c r="T82" s="2">
        <v>0</v>
      </c>
      <c r="U82" s="2">
        <v>10000</v>
      </c>
      <c r="W82" s="2" t="e">
        <v>#N/A</v>
      </c>
      <c r="X82" s="2" t="s">
        <v>2579</v>
      </c>
    </row>
    <row r="83" spans="1:24" x14ac:dyDescent="0.25">
      <c r="A83" s="2">
        <f t="shared" si="4"/>
        <v>82</v>
      </c>
      <c r="B83" s="2" t="s">
        <v>2339</v>
      </c>
      <c r="C83" s="2">
        <v>0</v>
      </c>
      <c r="D83" s="2">
        <v>10000</v>
      </c>
      <c r="F83" s="2">
        <f t="shared" si="3"/>
        <v>68</v>
      </c>
      <c r="G83" t="s">
        <v>22</v>
      </c>
      <c r="O83" s="2">
        <v>0</v>
      </c>
      <c r="P83" s="2" t="s">
        <v>27</v>
      </c>
      <c r="Q83" s="2">
        <v>23</v>
      </c>
      <c r="R83" s="2">
        <v>74</v>
      </c>
      <c r="S83" s="2" t="s">
        <v>2580</v>
      </c>
      <c r="T83" s="2">
        <v>0</v>
      </c>
      <c r="U83" s="2">
        <v>10000</v>
      </c>
      <c r="W83" s="2" t="e">
        <v>#N/A</v>
      </c>
      <c r="X83" s="2" t="s">
        <v>2657</v>
      </c>
    </row>
    <row r="84" spans="1:24" x14ac:dyDescent="0.25">
      <c r="A84" s="2">
        <f t="shared" si="4"/>
        <v>83</v>
      </c>
      <c r="B84" s="2" t="s">
        <v>2341</v>
      </c>
      <c r="C84" s="2">
        <v>0</v>
      </c>
      <c r="D84" s="2">
        <v>10000</v>
      </c>
      <c r="F84" s="2">
        <f t="shared" si="3"/>
        <v>69</v>
      </c>
      <c r="G84" t="s">
        <v>22</v>
      </c>
      <c r="O84" s="2">
        <v>0</v>
      </c>
      <c r="P84" s="2" t="s">
        <v>2352</v>
      </c>
      <c r="Q84" s="2">
        <v>25</v>
      </c>
      <c r="R84" s="2">
        <v>80</v>
      </c>
      <c r="S84" s="2" t="s">
        <v>2582</v>
      </c>
      <c r="T84" s="2">
        <v>0</v>
      </c>
      <c r="U84" s="2">
        <v>10000</v>
      </c>
      <c r="W84" s="2" t="e">
        <v>#N/A</v>
      </c>
      <c r="X84" s="2" t="s">
        <v>2582</v>
      </c>
    </row>
    <row r="85" spans="1:24" x14ac:dyDescent="0.25">
      <c r="A85" s="2">
        <v>99</v>
      </c>
      <c r="B85" s="6" t="s">
        <v>1750</v>
      </c>
      <c r="C85" s="2">
        <v>0</v>
      </c>
      <c r="D85" s="2">
        <v>10000</v>
      </c>
      <c r="F85" s="2" t="e">
        <f t="shared" si="3"/>
        <v>#N/A</v>
      </c>
      <c r="O85" s="2">
        <v>0</v>
      </c>
      <c r="P85" s="2" t="s">
        <v>22</v>
      </c>
      <c r="Q85" s="2">
        <v>26</v>
      </c>
      <c r="R85" s="2">
        <v>82</v>
      </c>
      <c r="S85" s="2" t="s">
        <v>2339</v>
      </c>
      <c r="T85" s="2">
        <v>0</v>
      </c>
      <c r="U85" s="2">
        <v>10000</v>
      </c>
      <c r="W85" s="2">
        <v>68</v>
      </c>
      <c r="X85" s="2" t="s">
        <v>2339</v>
      </c>
    </row>
  </sheetData>
  <sortState xmlns:xlrd2="http://schemas.microsoft.com/office/spreadsheetml/2017/richdata2" ref="O2:X85">
    <sortCondition descending="1" ref="O2:O85"/>
    <sortCondition ref="Q2:Q8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4114-DAB0-40D7-A56D-749EB0D0B566}">
  <dimension ref="E3:Y29"/>
  <sheetViews>
    <sheetView workbookViewId="0">
      <selection activeCell="G3" sqref="G3"/>
    </sheetView>
  </sheetViews>
  <sheetFormatPr defaultRowHeight="15" x14ac:dyDescent="0.25"/>
  <cols>
    <col min="5" max="5" width="9.42578125" bestFit="1" customWidth="1"/>
    <col min="6" max="6" width="17.140625" bestFit="1" customWidth="1"/>
    <col min="7" max="7" width="46.85546875" style="13" bestFit="1" customWidth="1"/>
    <col min="12" max="12" width="15.28515625" bestFit="1" customWidth="1"/>
  </cols>
  <sheetData>
    <row r="3" spans="5:25" x14ac:dyDescent="0.25">
      <c r="E3" s="14" t="s">
        <v>2599</v>
      </c>
      <c r="F3" s="14" t="s">
        <v>2661</v>
      </c>
      <c r="G3" s="15" t="s">
        <v>2662</v>
      </c>
      <c r="L3" t="s">
        <v>2663</v>
      </c>
      <c r="M3" t="s">
        <v>2664</v>
      </c>
      <c r="N3" t="s">
        <v>2665</v>
      </c>
      <c r="O3" t="s">
        <v>2666</v>
      </c>
      <c r="P3" t="s">
        <v>2667</v>
      </c>
      <c r="Q3" t="s">
        <v>2668</v>
      </c>
      <c r="R3" t="s">
        <v>2669</v>
      </c>
      <c r="S3" t="s">
        <v>2670</v>
      </c>
      <c r="T3" t="s">
        <v>2671</v>
      </c>
      <c r="U3" t="s">
        <v>2672</v>
      </c>
      <c r="V3" t="s">
        <v>2673</v>
      </c>
      <c r="W3" t="s">
        <v>2674</v>
      </c>
      <c r="X3" t="s">
        <v>2675</v>
      </c>
      <c r="Y3" t="s">
        <v>2676</v>
      </c>
    </row>
    <row r="4" spans="5:25" x14ac:dyDescent="0.25">
      <c r="E4" s="16">
        <v>1</v>
      </c>
      <c r="F4" s="16" t="s">
        <v>2594</v>
      </c>
      <c r="G4" s="17" t="s">
        <v>2625</v>
      </c>
      <c r="K4">
        <v>1</v>
      </c>
      <c r="L4" t="s">
        <v>2594</v>
      </c>
      <c r="M4" s="18">
        <v>1.6746589999999999E-2</v>
      </c>
      <c r="N4" s="18">
        <v>6.5380930000000004E-2</v>
      </c>
      <c r="O4" s="18">
        <v>9.6410509999999994E-3</v>
      </c>
      <c r="P4" s="18">
        <v>2.9799519999999999E-2</v>
      </c>
      <c r="Q4" s="18"/>
      <c r="R4" s="18"/>
      <c r="S4" s="18"/>
      <c r="T4" s="18"/>
      <c r="U4" s="18"/>
      <c r="V4" s="18"/>
      <c r="W4" s="18"/>
      <c r="X4" s="18"/>
      <c r="Y4" s="18"/>
    </row>
    <row r="5" spans="5:25" ht="45" x14ac:dyDescent="0.25">
      <c r="E5" s="16">
        <v>2</v>
      </c>
      <c r="F5" s="16" t="s">
        <v>2227</v>
      </c>
      <c r="G5" s="17" t="s">
        <v>2630</v>
      </c>
      <c r="K5">
        <v>2</v>
      </c>
      <c r="L5" t="s">
        <v>2227</v>
      </c>
      <c r="M5" s="18">
        <v>0.11688129999999999</v>
      </c>
      <c r="N5" s="18">
        <v>9.6881209999999992E-3</v>
      </c>
      <c r="O5" s="18">
        <v>5.4015509999999999E-4</v>
      </c>
      <c r="P5" s="18">
        <v>5.622274E-2</v>
      </c>
      <c r="Q5" s="18"/>
      <c r="R5" s="18"/>
      <c r="S5" s="18"/>
      <c r="T5" s="18"/>
      <c r="U5" s="18"/>
      <c r="V5" s="18"/>
      <c r="W5" s="18"/>
      <c r="X5" s="18"/>
      <c r="Y5" s="18"/>
    </row>
    <row r="6" spans="5:25" ht="30" x14ac:dyDescent="0.25">
      <c r="E6" s="16">
        <v>3</v>
      </c>
      <c r="F6" s="16" t="s">
        <v>2593</v>
      </c>
      <c r="G6" s="17" t="s">
        <v>2635</v>
      </c>
      <c r="K6">
        <v>3</v>
      </c>
      <c r="L6" t="s">
        <v>2593</v>
      </c>
      <c r="M6" s="18">
        <v>4.138286E-2</v>
      </c>
      <c r="N6" s="18">
        <v>2.4506509999999999E-2</v>
      </c>
      <c r="O6" s="18">
        <v>3.05989E-4</v>
      </c>
      <c r="P6" s="18">
        <v>1.4928290000000001E-6</v>
      </c>
      <c r="Q6" s="18"/>
      <c r="R6" s="18"/>
      <c r="S6" s="18"/>
      <c r="T6" s="18"/>
      <c r="U6" s="18"/>
      <c r="V6" s="18"/>
      <c r="W6" s="18"/>
      <c r="X6" s="18"/>
      <c r="Y6" s="18"/>
    </row>
    <row r="7" spans="5:25" x14ac:dyDescent="0.25">
      <c r="E7" s="16">
        <v>4</v>
      </c>
      <c r="F7" s="16" t="s">
        <v>2247</v>
      </c>
      <c r="G7" s="17" t="s">
        <v>2247</v>
      </c>
      <c r="K7">
        <v>4</v>
      </c>
      <c r="L7" t="s">
        <v>2247</v>
      </c>
      <c r="M7" s="18"/>
      <c r="N7" s="18"/>
      <c r="O7" s="18"/>
      <c r="P7" s="18"/>
      <c r="Q7" s="18"/>
      <c r="R7" s="18"/>
      <c r="S7" s="18">
        <v>3.018486E-4</v>
      </c>
      <c r="T7" s="18"/>
      <c r="U7" s="18">
        <v>2.5306579999999999E-2</v>
      </c>
      <c r="V7" s="18"/>
      <c r="W7" s="18"/>
      <c r="X7" s="18"/>
      <c r="Y7" s="18"/>
    </row>
    <row r="8" spans="5:25" x14ac:dyDescent="0.25">
      <c r="E8" s="16">
        <v>5</v>
      </c>
      <c r="F8" s="16" t="s">
        <v>2249</v>
      </c>
      <c r="G8" s="17" t="s">
        <v>2249</v>
      </c>
      <c r="K8">
        <v>5</v>
      </c>
      <c r="L8" t="s">
        <v>2249</v>
      </c>
      <c r="M8" s="18"/>
      <c r="N8" s="18"/>
      <c r="O8" s="18"/>
      <c r="P8" s="18"/>
      <c r="Q8" s="18">
        <v>1.2180019999999999E-3</v>
      </c>
      <c r="R8" s="18">
        <v>1.118426E-5</v>
      </c>
      <c r="S8" s="18">
        <v>8.5539880000000002E-3</v>
      </c>
      <c r="T8" s="18">
        <v>1.03777E-2</v>
      </c>
      <c r="U8" s="18">
        <v>3.1856889999999999E-2</v>
      </c>
      <c r="V8" s="18"/>
      <c r="W8" s="18"/>
      <c r="X8" s="18"/>
      <c r="Y8" s="18"/>
    </row>
    <row r="9" spans="5:25" x14ac:dyDescent="0.25">
      <c r="E9" s="16">
        <v>6</v>
      </c>
      <c r="F9" s="16" t="s">
        <v>2251</v>
      </c>
      <c r="G9" s="17" t="s">
        <v>2251</v>
      </c>
      <c r="K9">
        <v>6</v>
      </c>
      <c r="L9" t="s">
        <v>2251</v>
      </c>
      <c r="M9" s="18"/>
      <c r="N9" s="18"/>
      <c r="O9" s="18"/>
      <c r="P9" s="18"/>
      <c r="Q9" s="18">
        <v>6.4484030000000001E-3</v>
      </c>
      <c r="R9" s="18">
        <v>1.098072E-4</v>
      </c>
      <c r="S9" s="18">
        <v>2.1685369999999999E-2</v>
      </c>
      <c r="T9" s="18">
        <v>3.1458989999999999E-2</v>
      </c>
      <c r="U9" s="18">
        <v>4.2658080000000001E-2</v>
      </c>
      <c r="V9" s="18"/>
      <c r="W9" s="18"/>
      <c r="X9" s="18"/>
      <c r="Y9" s="18"/>
    </row>
    <row r="10" spans="5:25" x14ac:dyDescent="0.25">
      <c r="E10" s="16">
        <v>7</v>
      </c>
      <c r="F10" s="16" t="s">
        <v>2253</v>
      </c>
      <c r="G10" s="17" t="s">
        <v>2253</v>
      </c>
      <c r="K10">
        <v>7</v>
      </c>
      <c r="L10" t="s">
        <v>2253</v>
      </c>
      <c r="M10" s="18"/>
      <c r="N10" s="18"/>
      <c r="O10" s="18"/>
      <c r="P10" s="18"/>
      <c r="Q10" s="18">
        <v>1.4878199999999999E-2</v>
      </c>
      <c r="R10" s="18">
        <v>4.8776709999999999E-4</v>
      </c>
      <c r="S10" s="18">
        <v>2.2327900000000001E-2</v>
      </c>
      <c r="T10" s="18">
        <v>3.6318839999999998E-2</v>
      </c>
      <c r="U10" s="18">
        <v>3.3457550000000003E-2</v>
      </c>
      <c r="V10" s="18"/>
      <c r="W10" s="18"/>
      <c r="X10" s="18"/>
      <c r="Y10" s="18"/>
    </row>
    <row r="11" spans="5:25" x14ac:dyDescent="0.25">
      <c r="E11" s="16">
        <v>8</v>
      </c>
      <c r="F11" s="16" t="s">
        <v>2255</v>
      </c>
      <c r="G11" s="17" t="s">
        <v>2255</v>
      </c>
      <c r="K11">
        <v>8</v>
      </c>
      <c r="L11" t="s">
        <v>2255</v>
      </c>
      <c r="M11" s="18"/>
      <c r="N11" s="18"/>
      <c r="O11" s="18"/>
      <c r="P11" s="18"/>
      <c r="Q11" s="18">
        <v>5.5968249999999997E-2</v>
      </c>
      <c r="R11" s="18">
        <v>3.6007650000000001E-3</v>
      </c>
      <c r="S11" s="18">
        <v>4.4067509999999997E-2</v>
      </c>
      <c r="T11" s="18">
        <v>7.7376479999999997E-2</v>
      </c>
      <c r="U11" s="18">
        <v>6.069049E-2</v>
      </c>
      <c r="V11" s="18"/>
      <c r="W11" s="18"/>
      <c r="X11" s="18"/>
      <c r="Y11" s="18"/>
    </row>
    <row r="12" spans="5:25" x14ac:dyDescent="0.25">
      <c r="E12" s="16">
        <v>9</v>
      </c>
      <c r="F12" s="16" t="s">
        <v>2257</v>
      </c>
      <c r="G12" s="17" t="s">
        <v>2257</v>
      </c>
      <c r="K12">
        <v>9</v>
      </c>
      <c r="L12" t="s">
        <v>2257</v>
      </c>
      <c r="M12" s="18"/>
      <c r="N12" s="18"/>
      <c r="O12" s="18"/>
      <c r="P12" s="18"/>
      <c r="Q12" s="18">
        <v>9.5314019999999999E-2</v>
      </c>
      <c r="R12" s="18">
        <v>2.0168450000000001E-2</v>
      </c>
      <c r="S12" s="18">
        <v>2.1148859999999998E-2</v>
      </c>
      <c r="T12" s="18">
        <v>3.9143089999999998E-2</v>
      </c>
      <c r="U12" s="18">
        <v>2.1234530000000001E-2</v>
      </c>
      <c r="V12" s="18"/>
      <c r="W12" s="18"/>
      <c r="X12" s="18"/>
      <c r="Y12" s="18"/>
    </row>
    <row r="13" spans="5:25" x14ac:dyDescent="0.25">
      <c r="E13" s="16">
        <v>10</v>
      </c>
      <c r="F13" s="16" t="s">
        <v>2259</v>
      </c>
      <c r="G13" s="17" t="s">
        <v>2259</v>
      </c>
      <c r="K13">
        <v>10</v>
      </c>
      <c r="L13" t="s">
        <v>2259</v>
      </c>
      <c r="M13" s="18"/>
      <c r="N13" s="18"/>
      <c r="O13" s="18"/>
      <c r="P13" s="18"/>
      <c r="Q13" s="18"/>
      <c r="R13" s="18"/>
      <c r="S13" s="18"/>
      <c r="T13" s="18"/>
      <c r="U13" s="18"/>
      <c r="V13" s="18">
        <v>7.7246900000000001E-7</v>
      </c>
      <c r="W13" s="18">
        <v>2.8646409999999998E-4</v>
      </c>
      <c r="X13" s="18"/>
      <c r="Y13" s="18">
        <v>1.6137399999999999E-5</v>
      </c>
    </row>
    <row r="14" spans="5:25" x14ac:dyDescent="0.25">
      <c r="E14" s="16">
        <v>11</v>
      </c>
      <c r="F14" s="16" t="s">
        <v>2261</v>
      </c>
      <c r="G14" s="17" t="s">
        <v>2261</v>
      </c>
      <c r="K14">
        <v>11</v>
      </c>
      <c r="L14" t="s">
        <v>2261</v>
      </c>
      <c r="M14" s="18"/>
      <c r="N14" s="18"/>
      <c r="O14" s="18"/>
      <c r="P14" s="18"/>
      <c r="Q14" s="18"/>
      <c r="R14" s="18"/>
      <c r="S14" s="18"/>
      <c r="T14" s="18"/>
      <c r="U14" s="18"/>
      <c r="V14" s="18">
        <v>2.662723E-5</v>
      </c>
      <c r="W14" s="18">
        <v>7.9607349999999996E-4</v>
      </c>
      <c r="X14" s="18">
        <v>9.3822299999999996E-4</v>
      </c>
      <c r="Y14" s="18">
        <v>1.2306820000000001E-3</v>
      </c>
    </row>
    <row r="15" spans="5:25" x14ac:dyDescent="0.25">
      <c r="E15" s="16">
        <v>12</v>
      </c>
      <c r="F15" s="16" t="s">
        <v>2263</v>
      </c>
      <c r="G15" s="17" t="s">
        <v>2263</v>
      </c>
      <c r="K15">
        <v>12</v>
      </c>
      <c r="L15" t="s">
        <v>2263</v>
      </c>
      <c r="M15" s="18"/>
      <c r="N15" s="18"/>
      <c r="O15" s="18"/>
      <c r="P15" s="18"/>
      <c r="Q15" s="18"/>
      <c r="R15" s="18"/>
      <c r="S15" s="18"/>
      <c r="T15" s="18"/>
      <c r="U15" s="18"/>
      <c r="V15" s="18">
        <v>3.444853E-4</v>
      </c>
      <c r="W15" s="18">
        <v>1.6052989999999999E-3</v>
      </c>
      <c r="X15" s="18">
        <v>3.3620220000000001E-3</v>
      </c>
      <c r="Y15" s="18">
        <v>1.2377020000000001E-2</v>
      </c>
    </row>
    <row r="16" spans="5:25" x14ac:dyDescent="0.25">
      <c r="E16" s="16">
        <v>13</v>
      </c>
      <c r="F16" s="16" t="s">
        <v>2265</v>
      </c>
      <c r="G16" s="17" t="s">
        <v>2265</v>
      </c>
      <c r="K16">
        <v>13</v>
      </c>
      <c r="L16" t="s">
        <v>2265</v>
      </c>
      <c r="M16" s="18"/>
      <c r="N16" s="18"/>
      <c r="O16" s="18"/>
      <c r="P16" s="18"/>
      <c r="Q16" s="18"/>
      <c r="R16" s="18"/>
      <c r="S16" s="18"/>
      <c r="T16" s="18"/>
      <c r="U16" s="18"/>
      <c r="V16" s="18">
        <v>3.117135E-3</v>
      </c>
      <c r="W16" s="18">
        <v>4.3085450000000004E-3</v>
      </c>
      <c r="X16" s="18">
        <v>7.8211089999999997E-3</v>
      </c>
      <c r="Y16" s="18">
        <v>5.4413639999999999E-2</v>
      </c>
    </row>
    <row r="17" spans="5:25" x14ac:dyDescent="0.25">
      <c r="E17" s="16">
        <v>14</v>
      </c>
      <c r="F17" s="16" t="s">
        <v>2267</v>
      </c>
      <c r="G17" s="17" t="s">
        <v>2267</v>
      </c>
      <c r="K17">
        <v>14</v>
      </c>
      <c r="L17" t="s">
        <v>2267</v>
      </c>
      <c r="M17" s="18"/>
      <c r="N17" s="18"/>
      <c r="O17" s="18"/>
      <c r="P17" s="18"/>
      <c r="Q17" s="18"/>
      <c r="R17" s="18"/>
      <c r="S17" s="18"/>
      <c r="T17" s="18"/>
      <c r="U17" s="18"/>
      <c r="V17" s="18">
        <v>1.6333029999999998E-2</v>
      </c>
      <c r="W17" s="18">
        <v>1.1718350000000001E-2</v>
      </c>
      <c r="X17" s="18">
        <v>1.2338379999999999E-2</v>
      </c>
      <c r="Y17" s="18">
        <v>9.3032080000000003E-2</v>
      </c>
    </row>
    <row r="18" spans="5:25" x14ac:dyDescent="0.25">
      <c r="E18" s="16">
        <v>15</v>
      </c>
      <c r="F18" s="16" t="s">
        <v>2269</v>
      </c>
      <c r="G18" s="17" t="s">
        <v>2269</v>
      </c>
      <c r="K18">
        <v>15</v>
      </c>
      <c r="L18" t="s">
        <v>2269</v>
      </c>
      <c r="M18" s="18"/>
      <c r="N18" s="18"/>
      <c r="O18" s="18"/>
      <c r="P18" s="18"/>
      <c r="Q18" s="18"/>
      <c r="R18" s="18"/>
      <c r="S18" s="18"/>
      <c r="T18" s="18"/>
      <c r="U18" s="18"/>
      <c r="V18" s="18">
        <v>5.6734390000000003E-2</v>
      </c>
      <c r="W18" s="18">
        <v>3.9041399999999997E-2</v>
      </c>
      <c r="X18" s="18">
        <v>1.3166590000000001E-2</v>
      </c>
      <c r="Y18" s="18">
        <v>5.9205260000000003E-2</v>
      </c>
    </row>
    <row r="19" spans="5:25" ht="30" x14ac:dyDescent="0.25">
      <c r="E19" s="16">
        <v>16</v>
      </c>
      <c r="F19" s="16" t="s">
        <v>2592</v>
      </c>
      <c r="G19" s="17" t="s">
        <v>2639</v>
      </c>
      <c r="K19">
        <v>16</v>
      </c>
      <c r="L19" t="s">
        <v>2592</v>
      </c>
      <c r="M19" s="18">
        <v>0.195461</v>
      </c>
      <c r="N19" s="18">
        <v>2.5817630000000001E-2</v>
      </c>
      <c r="O19" s="18">
        <v>2.830131E-2</v>
      </c>
      <c r="P19" s="18"/>
      <c r="Q19" s="18"/>
      <c r="R19" s="18"/>
      <c r="S19" s="18"/>
      <c r="T19" s="18"/>
      <c r="U19" s="18"/>
      <c r="V19" s="18"/>
      <c r="W19" s="18"/>
      <c r="X19" s="18"/>
      <c r="Y19" s="18"/>
    </row>
    <row r="20" spans="5:25" ht="45" x14ac:dyDescent="0.25">
      <c r="E20" s="16">
        <v>17</v>
      </c>
      <c r="F20" s="16" t="s">
        <v>2586</v>
      </c>
      <c r="G20" s="17" t="s">
        <v>2644</v>
      </c>
      <c r="M20" s="18"/>
      <c r="N20" s="18"/>
      <c r="O20" s="18"/>
      <c r="P20" s="18"/>
      <c r="Q20" s="18"/>
      <c r="R20" s="18"/>
      <c r="S20" s="18"/>
      <c r="T20" s="18"/>
      <c r="U20" s="18"/>
      <c r="V20" s="18"/>
      <c r="W20" s="18"/>
      <c r="X20" s="18"/>
      <c r="Y20" s="18"/>
    </row>
    <row r="21" spans="5:25" ht="30" x14ac:dyDescent="0.25">
      <c r="E21" s="16">
        <v>18</v>
      </c>
      <c r="F21" s="16" t="s">
        <v>2587</v>
      </c>
      <c r="G21" s="17" t="s">
        <v>2646</v>
      </c>
      <c r="M21" s="18"/>
      <c r="N21" s="18"/>
      <c r="O21" s="18"/>
      <c r="P21" s="18"/>
      <c r="Q21" s="18"/>
      <c r="R21" s="18"/>
      <c r="S21" s="18"/>
      <c r="T21" s="18"/>
      <c r="U21" s="18"/>
      <c r="V21" s="18"/>
      <c r="W21" s="18"/>
      <c r="X21" s="18"/>
      <c r="Y21" s="18"/>
    </row>
    <row r="22" spans="5:25" ht="30" x14ac:dyDescent="0.25">
      <c r="E22" s="16">
        <v>19</v>
      </c>
      <c r="F22" s="16" t="s">
        <v>2588</v>
      </c>
      <c r="G22" s="17" t="s">
        <v>2648</v>
      </c>
      <c r="M22" s="18"/>
      <c r="N22" s="18"/>
      <c r="O22" s="18"/>
      <c r="P22" s="18"/>
      <c r="Q22" s="18"/>
      <c r="R22" s="18"/>
      <c r="S22" s="18"/>
      <c r="T22" s="18"/>
      <c r="U22" s="18"/>
      <c r="V22" s="18"/>
      <c r="W22" s="18"/>
      <c r="X22" s="18"/>
      <c r="Y22" s="18"/>
    </row>
    <row r="23" spans="5:25" x14ac:dyDescent="0.25">
      <c r="E23" s="16">
        <v>20</v>
      </c>
      <c r="F23" s="16" t="s">
        <v>2596</v>
      </c>
      <c r="G23" s="17" t="s">
        <v>2649</v>
      </c>
      <c r="M23" s="18"/>
      <c r="N23" s="18"/>
      <c r="O23" s="18"/>
      <c r="P23" s="18"/>
      <c r="Q23" s="18"/>
      <c r="R23" s="18"/>
      <c r="S23" s="18"/>
      <c r="T23" s="18"/>
      <c r="U23" s="18"/>
      <c r="V23" s="18"/>
      <c r="W23" s="18"/>
      <c r="X23" s="18"/>
      <c r="Y23" s="18"/>
    </row>
    <row r="24" spans="5:25" x14ac:dyDescent="0.25">
      <c r="E24" s="16">
        <v>21</v>
      </c>
      <c r="F24" s="16" t="s">
        <v>2597</v>
      </c>
      <c r="G24" s="17" t="s">
        <v>2336</v>
      </c>
      <c r="M24" s="18"/>
      <c r="N24" s="18"/>
      <c r="O24" s="18"/>
      <c r="P24" s="18"/>
      <c r="Q24" s="18"/>
      <c r="R24" s="18"/>
      <c r="S24" s="18"/>
      <c r="T24" s="18"/>
      <c r="U24" s="18"/>
      <c r="V24" s="18"/>
      <c r="W24" s="18"/>
      <c r="X24" s="18"/>
      <c r="Y24" s="18"/>
    </row>
    <row r="25" spans="5:25" ht="45" x14ac:dyDescent="0.25">
      <c r="E25" s="16">
        <v>22</v>
      </c>
      <c r="F25" s="16" t="s">
        <v>2598</v>
      </c>
      <c r="G25" s="17" t="s">
        <v>2656</v>
      </c>
      <c r="M25" s="18"/>
      <c r="N25" s="18"/>
      <c r="O25" s="18"/>
      <c r="P25" s="18"/>
      <c r="Q25" s="18"/>
      <c r="R25" s="18"/>
      <c r="S25" s="18"/>
      <c r="T25" s="18"/>
      <c r="U25" s="18"/>
      <c r="V25" s="18"/>
      <c r="W25" s="18"/>
      <c r="X25" s="18"/>
      <c r="Y25" s="18"/>
    </row>
    <row r="26" spans="5:25" ht="30" x14ac:dyDescent="0.25">
      <c r="E26" s="16">
        <v>23</v>
      </c>
      <c r="F26" s="16" t="s">
        <v>27</v>
      </c>
      <c r="G26" s="17" t="s">
        <v>2658</v>
      </c>
      <c r="M26" s="18"/>
      <c r="N26" s="18"/>
      <c r="O26" s="18"/>
      <c r="P26" s="18"/>
      <c r="Q26" s="18"/>
      <c r="R26" s="18"/>
      <c r="S26" s="18"/>
      <c r="T26" s="18"/>
      <c r="U26" s="18"/>
      <c r="V26" s="18"/>
      <c r="W26" s="18"/>
      <c r="X26" s="18"/>
      <c r="Y26" s="18"/>
    </row>
    <row r="27" spans="5:25" x14ac:dyDescent="0.25">
      <c r="E27" s="16">
        <v>25</v>
      </c>
      <c r="F27" s="16" t="s">
        <v>2352</v>
      </c>
      <c r="G27" s="17" t="s">
        <v>2659</v>
      </c>
      <c r="M27" s="18"/>
      <c r="N27" s="18"/>
      <c r="O27" s="18"/>
      <c r="P27" s="18"/>
      <c r="Q27" s="18"/>
      <c r="R27" s="18"/>
      <c r="S27" s="18"/>
      <c r="T27" s="18"/>
      <c r="U27" s="18"/>
      <c r="V27" s="18"/>
      <c r="W27" s="18"/>
      <c r="X27" s="18"/>
      <c r="Y27" s="18"/>
    </row>
    <row r="28" spans="5:25" x14ac:dyDescent="0.25">
      <c r="E28" s="16">
        <v>26</v>
      </c>
      <c r="F28" s="16" t="s">
        <v>22</v>
      </c>
      <c r="G28" s="17" t="s">
        <v>2660</v>
      </c>
      <c r="M28" s="18"/>
      <c r="N28" s="18"/>
      <c r="O28" s="18"/>
      <c r="P28" s="18"/>
      <c r="Q28" s="18"/>
      <c r="R28" s="18"/>
      <c r="S28" s="18"/>
      <c r="T28" s="18"/>
      <c r="U28" s="18"/>
      <c r="V28" s="18"/>
      <c r="W28" s="18"/>
      <c r="X28" s="18"/>
      <c r="Y28" s="18"/>
    </row>
    <row r="29" spans="5:25" ht="105" x14ac:dyDescent="0.25">
      <c r="E29" s="16">
        <v>0</v>
      </c>
      <c r="F29" s="16" t="s">
        <v>2600</v>
      </c>
      <c r="G29" s="17" t="s">
        <v>2624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A88E-AA12-4A9C-8F09-45C834EF2910}">
  <dimension ref="A1:P16"/>
  <sheetViews>
    <sheetView tabSelected="1" workbookViewId="0">
      <selection activeCell="P17" sqref="P17"/>
    </sheetView>
  </sheetViews>
  <sheetFormatPr defaultColWidth="9.140625" defaultRowHeight="15" x14ac:dyDescent="0.25"/>
  <cols>
    <col min="1" max="4" width="9.140625" style="7"/>
    <col min="5" max="5" width="16.7109375" style="7" bestFit="1" customWidth="1"/>
    <col min="6" max="16384" width="9.140625" style="7"/>
  </cols>
  <sheetData>
    <row r="1" spans="1:16" x14ac:dyDescent="0.25">
      <c r="A1" s="7" t="s">
        <v>2357</v>
      </c>
      <c r="B1" s="7" t="s">
        <v>2551</v>
      </c>
      <c r="C1" s="7" t="s">
        <v>2552</v>
      </c>
      <c r="D1" s="7" t="s">
        <v>2553</v>
      </c>
      <c r="E1" s="7" t="s">
        <v>2554</v>
      </c>
      <c r="F1" s="7" t="s">
        <v>2555</v>
      </c>
      <c r="G1" s="7" t="s">
        <v>2556</v>
      </c>
      <c r="H1" s="7" t="s">
        <v>2557</v>
      </c>
      <c r="I1" s="7" t="s">
        <v>2558</v>
      </c>
      <c r="J1" s="7" t="s">
        <v>2559</v>
      </c>
      <c r="K1" s="7" t="s">
        <v>2560</v>
      </c>
      <c r="L1" s="7" t="s">
        <v>2561</v>
      </c>
      <c r="M1" s="7" t="s">
        <v>2562</v>
      </c>
      <c r="N1" s="7" t="s">
        <v>2563</v>
      </c>
      <c r="O1" s="7" t="s">
        <v>2564</v>
      </c>
      <c r="P1" s="19" t="s">
        <v>2679</v>
      </c>
    </row>
    <row r="2" spans="1:16" x14ac:dyDescent="0.25">
      <c r="A2" s="7" t="s">
        <v>283</v>
      </c>
      <c r="B2" s="7" t="s">
        <v>2232</v>
      </c>
      <c r="C2" s="7" t="s">
        <v>285</v>
      </c>
      <c r="D2" s="7">
        <v>0</v>
      </c>
      <c r="E2" s="7">
        <v>12</v>
      </c>
      <c r="F2" s="7">
        <v>6</v>
      </c>
      <c r="G2" s="7">
        <v>43.287700000000001</v>
      </c>
      <c r="H2" s="7">
        <v>72.374300000000005</v>
      </c>
      <c r="I2" s="7">
        <v>91.485600000000005</v>
      </c>
      <c r="J2" s="7">
        <v>104.04300000000001</v>
      </c>
      <c r="K2" s="7">
        <v>112.29300000000001</v>
      </c>
      <c r="L2" s="7">
        <v>117.714</v>
      </c>
      <c r="M2" s="7">
        <v>121.276</v>
      </c>
      <c r="N2" s="7">
        <v>123.616</v>
      </c>
      <c r="O2" s="7">
        <v>125.154</v>
      </c>
      <c r="P2" s="7">
        <v>0</v>
      </c>
    </row>
    <row r="3" spans="1:16" x14ac:dyDescent="0.25">
      <c r="A3" s="7" t="s">
        <v>334</v>
      </c>
      <c r="B3" s="7" t="s">
        <v>2565</v>
      </c>
      <c r="C3" s="7" t="s">
        <v>336</v>
      </c>
      <c r="D3" s="7" t="s">
        <v>2566</v>
      </c>
      <c r="E3" s="7" t="s">
        <v>2567</v>
      </c>
      <c r="F3" s="7">
        <v>10</v>
      </c>
      <c r="G3" s="7">
        <v>28.2087</v>
      </c>
      <c r="H3" s="7">
        <v>39.167200000000001</v>
      </c>
      <c r="I3" s="7">
        <v>48.8155</v>
      </c>
      <c r="J3" s="7">
        <v>57.310499999999998</v>
      </c>
      <c r="K3" s="7">
        <v>64.7898</v>
      </c>
      <c r="L3" s="7">
        <v>71.374899999999997</v>
      </c>
      <c r="M3" s="7">
        <v>77.172799999999995</v>
      </c>
      <c r="N3" s="7">
        <v>82.277500000000003</v>
      </c>
      <c r="O3" s="7">
        <v>86.772000000000006</v>
      </c>
      <c r="P3" s="19" t="s">
        <v>2680</v>
      </c>
    </row>
    <row r="4" spans="1:16" x14ac:dyDescent="0.25">
      <c r="A4" s="7" t="s">
        <v>289</v>
      </c>
      <c r="B4" s="7" t="s">
        <v>2236</v>
      </c>
      <c r="C4" s="7" t="s">
        <v>291</v>
      </c>
      <c r="D4" s="7">
        <v>0</v>
      </c>
      <c r="E4" s="7">
        <v>13</v>
      </c>
      <c r="F4" s="7">
        <v>10</v>
      </c>
      <c r="G4" s="7">
        <v>26.367100000000001</v>
      </c>
      <c r="H4" s="7">
        <v>47.442300000000003</v>
      </c>
      <c r="I4" s="7">
        <v>64.260599999999997</v>
      </c>
      <c r="J4" s="7">
        <v>77.681700000000006</v>
      </c>
      <c r="K4" s="7">
        <v>88.391999999999996</v>
      </c>
      <c r="L4" s="7">
        <v>96.938900000000004</v>
      </c>
      <c r="M4" s="7">
        <v>103.759</v>
      </c>
      <c r="N4" s="7">
        <v>109.202</v>
      </c>
      <c r="O4" s="7">
        <v>113.54600000000001</v>
      </c>
      <c r="P4" s="7">
        <v>0</v>
      </c>
    </row>
    <row r="5" spans="1:16" x14ac:dyDescent="0.25">
      <c r="A5" s="7" t="s">
        <v>304</v>
      </c>
      <c r="B5" s="7" t="s">
        <v>2244</v>
      </c>
      <c r="C5" s="7" t="s">
        <v>306</v>
      </c>
      <c r="D5" s="7">
        <v>0</v>
      </c>
      <c r="E5" s="7">
        <v>18</v>
      </c>
      <c r="F5" s="7">
        <v>2</v>
      </c>
      <c r="G5" s="7">
        <v>16.707599999999999</v>
      </c>
      <c r="H5" s="7">
        <v>21.418900000000001</v>
      </c>
      <c r="I5" s="7">
        <v>25.6267</v>
      </c>
      <c r="J5" s="7">
        <v>29.385000000000002</v>
      </c>
      <c r="K5" s="7">
        <v>32.741599999999998</v>
      </c>
      <c r="L5" s="7">
        <v>35.739699999999999</v>
      </c>
      <c r="M5" s="7">
        <v>38.417299999999997</v>
      </c>
      <c r="N5" s="7">
        <v>40.808900000000001</v>
      </c>
      <c r="O5" s="7">
        <v>42.945</v>
      </c>
      <c r="P5" s="7">
        <v>0</v>
      </c>
    </row>
    <row r="6" spans="1:16" x14ac:dyDescent="0.25">
      <c r="A6" s="7" t="s">
        <v>422</v>
      </c>
      <c r="B6" s="7" t="s">
        <v>2290</v>
      </c>
      <c r="C6" s="7" t="s">
        <v>418</v>
      </c>
      <c r="D6" s="7">
        <v>0</v>
      </c>
      <c r="E6" s="7">
        <v>42</v>
      </c>
      <c r="F6" s="7">
        <v>4</v>
      </c>
      <c r="G6" s="7">
        <v>30.3735</v>
      </c>
      <c r="H6" s="7">
        <v>34.109400000000001</v>
      </c>
      <c r="I6" s="7">
        <v>37.357199999999999</v>
      </c>
      <c r="J6" s="7">
        <v>40.180700000000002</v>
      </c>
      <c r="K6" s="7">
        <v>42.635399999999997</v>
      </c>
      <c r="L6" s="7">
        <v>44.769399999999997</v>
      </c>
      <c r="M6" s="7">
        <v>46.624600000000001</v>
      </c>
      <c r="N6" s="7">
        <v>48.237400000000001</v>
      </c>
      <c r="O6" s="7">
        <v>49.639499999999998</v>
      </c>
      <c r="P6" s="7">
        <v>0</v>
      </c>
    </row>
    <row r="7" spans="1:16" x14ac:dyDescent="0.25">
      <c r="A7" s="7" t="s">
        <v>275</v>
      </c>
      <c r="B7" s="7" t="s">
        <v>2568</v>
      </c>
      <c r="C7" s="7" t="s">
        <v>277</v>
      </c>
      <c r="D7" s="7" t="s">
        <v>2569</v>
      </c>
      <c r="E7" s="8" t="s">
        <v>2570</v>
      </c>
      <c r="F7" s="7">
        <v>10</v>
      </c>
      <c r="G7" s="7">
        <v>36.045999999999999</v>
      </c>
      <c r="H7" s="7">
        <v>58.730400000000003</v>
      </c>
      <c r="I7" s="7">
        <v>74.198899999999995</v>
      </c>
      <c r="J7" s="7">
        <v>84.746899999999997</v>
      </c>
      <c r="K7" s="7">
        <v>91.939599999999999</v>
      </c>
      <c r="L7" s="7">
        <v>96.844200000000001</v>
      </c>
      <c r="M7" s="7">
        <v>100.18899999999999</v>
      </c>
      <c r="N7" s="7">
        <v>102.46899999999999</v>
      </c>
      <c r="O7" s="7">
        <v>104.024</v>
      </c>
      <c r="P7" s="7">
        <v>0</v>
      </c>
    </row>
    <row r="8" spans="1:16" x14ac:dyDescent="0.25">
      <c r="A8" s="7" t="s">
        <v>340</v>
      </c>
      <c r="B8" s="7" t="s">
        <v>2571</v>
      </c>
      <c r="C8" s="7" t="s">
        <v>342</v>
      </c>
      <c r="D8" s="7" t="s">
        <v>2566</v>
      </c>
      <c r="E8" s="7" t="s">
        <v>2572</v>
      </c>
      <c r="F8" s="7">
        <v>2</v>
      </c>
      <c r="G8" s="7">
        <v>5.0161800000000003</v>
      </c>
      <c r="H8" s="7">
        <v>13.5746</v>
      </c>
      <c r="I8" s="7">
        <v>21.156199999999998</v>
      </c>
      <c r="J8" s="7">
        <v>27.872399999999999</v>
      </c>
      <c r="K8" s="7">
        <v>33.821899999999999</v>
      </c>
      <c r="L8" s="7">
        <v>39.092399999999998</v>
      </c>
      <c r="M8" s="7">
        <v>43.761200000000002</v>
      </c>
      <c r="N8" s="7">
        <v>47.897100000000002</v>
      </c>
      <c r="O8" s="7">
        <v>51.560899999999997</v>
      </c>
      <c r="P8" s="19" t="s">
        <v>2681</v>
      </c>
    </row>
    <row r="9" spans="1:16" x14ac:dyDescent="0.25">
      <c r="A9" s="7" t="s">
        <v>293</v>
      </c>
      <c r="B9" s="7" t="s">
        <v>2573</v>
      </c>
      <c r="C9" s="7" t="s">
        <v>295</v>
      </c>
      <c r="D9" s="7" t="s">
        <v>2574</v>
      </c>
      <c r="E9" s="7" t="s">
        <v>2575</v>
      </c>
      <c r="F9" s="7">
        <v>8</v>
      </c>
      <c r="G9" s="7">
        <v>13.505000000000001</v>
      </c>
      <c r="H9" s="7">
        <v>26.1006</v>
      </c>
      <c r="I9" s="7">
        <v>36.4968</v>
      </c>
      <c r="J9" s="7">
        <v>45.0777</v>
      </c>
      <c r="K9" s="7">
        <v>52.160299999999999</v>
      </c>
      <c r="L9" s="7">
        <v>58.0062</v>
      </c>
      <c r="M9" s="7">
        <v>62.831400000000002</v>
      </c>
      <c r="N9" s="7">
        <v>66.813999999999993</v>
      </c>
      <c r="O9" s="7">
        <v>70.101200000000006</v>
      </c>
      <c r="P9" s="7">
        <v>0</v>
      </c>
    </row>
    <row r="10" spans="1:16" x14ac:dyDescent="0.25">
      <c r="A10" s="7" t="s">
        <v>353</v>
      </c>
      <c r="B10" s="7" t="s">
        <v>2275</v>
      </c>
      <c r="C10" s="7" t="s">
        <v>355</v>
      </c>
      <c r="D10" s="7">
        <v>0</v>
      </c>
      <c r="E10" s="7">
        <v>34</v>
      </c>
      <c r="F10" s="7">
        <v>6</v>
      </c>
      <c r="G10" s="7">
        <v>18.785900000000002</v>
      </c>
      <c r="H10" s="7">
        <v>29.0593</v>
      </c>
      <c r="I10" s="7">
        <v>37.762300000000003</v>
      </c>
      <c r="J10" s="7">
        <v>45.134799999999998</v>
      </c>
      <c r="K10" s="7">
        <v>51.380299999999998</v>
      </c>
      <c r="L10" s="7">
        <v>56.670999999999999</v>
      </c>
      <c r="M10" s="7">
        <v>61.152999999999999</v>
      </c>
      <c r="N10" s="7">
        <v>64.949799999999996</v>
      </c>
      <c r="O10" s="7">
        <v>68.166200000000003</v>
      </c>
      <c r="P10" s="7">
        <v>0</v>
      </c>
    </row>
    <row r="11" spans="1:16" x14ac:dyDescent="0.25">
      <c r="A11" s="7" t="s">
        <v>279</v>
      </c>
      <c r="B11" s="7" t="s">
        <v>2576</v>
      </c>
      <c r="C11" s="7" t="s">
        <v>281</v>
      </c>
      <c r="D11" s="7" t="s">
        <v>2569</v>
      </c>
      <c r="E11" s="8" t="s">
        <v>2577</v>
      </c>
      <c r="F11" s="7">
        <v>3</v>
      </c>
      <c r="G11" s="7">
        <v>24.6953</v>
      </c>
      <c r="H11" s="7">
        <v>28.3812</v>
      </c>
      <c r="I11" s="7">
        <v>31.808800000000002</v>
      </c>
      <c r="J11" s="7">
        <v>34.996200000000002</v>
      </c>
      <c r="K11" s="7">
        <v>37.9602</v>
      </c>
      <c r="L11" s="7">
        <v>40.716500000000003</v>
      </c>
      <c r="M11" s="7">
        <v>43.279600000000002</v>
      </c>
      <c r="N11" s="7">
        <v>45.6631</v>
      </c>
      <c r="O11" s="7">
        <v>47.879600000000003</v>
      </c>
      <c r="P11" s="7">
        <v>0</v>
      </c>
    </row>
    <row r="12" spans="1:16" x14ac:dyDescent="0.25">
      <c r="A12" s="7" t="s">
        <v>402</v>
      </c>
      <c r="B12" s="7" t="s">
        <v>2284</v>
      </c>
      <c r="C12" s="7" t="s">
        <v>404</v>
      </c>
      <c r="D12" s="7">
        <v>0</v>
      </c>
      <c r="E12" s="7">
        <v>39</v>
      </c>
      <c r="F12" s="7">
        <v>4</v>
      </c>
      <c r="G12" s="7">
        <v>18.876100000000001</v>
      </c>
      <c r="H12" s="7">
        <v>32.077500000000001</v>
      </c>
      <c r="I12" s="7">
        <v>40.897799999999997</v>
      </c>
      <c r="J12" s="7">
        <v>46.790999999999997</v>
      </c>
      <c r="K12" s="7">
        <v>50.728400000000001</v>
      </c>
      <c r="L12" s="7">
        <v>53.359200000000001</v>
      </c>
      <c r="M12" s="7">
        <v>55.116900000000001</v>
      </c>
      <c r="N12" s="7">
        <v>56.2913</v>
      </c>
      <c r="O12" s="7">
        <v>57.076000000000001</v>
      </c>
      <c r="P12" s="7">
        <v>0</v>
      </c>
    </row>
    <row r="13" spans="1:16" x14ac:dyDescent="0.25">
      <c r="A13" s="7" t="s">
        <v>299</v>
      </c>
      <c r="B13" s="7" t="s">
        <v>2243</v>
      </c>
      <c r="C13" s="7" t="s">
        <v>301</v>
      </c>
      <c r="D13" s="7">
        <v>0</v>
      </c>
      <c r="E13" s="7">
        <v>17</v>
      </c>
      <c r="F13" s="7">
        <v>1.4</v>
      </c>
      <c r="G13" s="7">
        <v>10.184200000000001</v>
      </c>
      <c r="H13" s="7">
        <v>17.964700000000001</v>
      </c>
      <c r="I13" s="7">
        <v>24.856400000000001</v>
      </c>
      <c r="J13" s="7">
        <v>30.960599999999999</v>
      </c>
      <c r="K13" s="7">
        <v>36.3675</v>
      </c>
      <c r="L13" s="7">
        <v>41.156599999999997</v>
      </c>
      <c r="M13" s="7">
        <v>45.398600000000002</v>
      </c>
      <c r="N13" s="7">
        <v>49.155900000000003</v>
      </c>
      <c r="O13" s="7">
        <v>52.483899999999998</v>
      </c>
      <c r="P13" s="7">
        <v>0</v>
      </c>
    </row>
    <row r="14" spans="1:16" x14ac:dyDescent="0.25">
      <c r="A14" s="7" t="s">
        <v>348</v>
      </c>
      <c r="B14" s="7" t="s">
        <v>2273</v>
      </c>
      <c r="C14" s="7" t="s">
        <v>350</v>
      </c>
      <c r="D14" s="7">
        <v>0</v>
      </c>
      <c r="E14" s="7">
        <v>33</v>
      </c>
      <c r="F14" s="7">
        <v>1</v>
      </c>
      <c r="G14" s="7">
        <v>15.218999999999999</v>
      </c>
      <c r="H14" s="7">
        <v>20.546700000000001</v>
      </c>
      <c r="I14" s="7">
        <v>24.394600000000001</v>
      </c>
      <c r="J14" s="7">
        <v>27.1737</v>
      </c>
      <c r="K14" s="7">
        <v>29.180900000000001</v>
      </c>
      <c r="L14" s="7">
        <v>30.630600000000001</v>
      </c>
      <c r="M14" s="7">
        <v>31.677600000000002</v>
      </c>
      <c r="N14" s="7">
        <v>32.433799999999998</v>
      </c>
      <c r="O14" s="7">
        <v>32.979900000000001</v>
      </c>
      <c r="P14" s="7">
        <v>0</v>
      </c>
    </row>
    <row r="15" spans="1:16" x14ac:dyDescent="0.25">
      <c r="A15" s="7" t="s">
        <v>326</v>
      </c>
      <c r="B15" s="7" t="s">
        <v>2578</v>
      </c>
      <c r="C15" s="7" t="s">
        <v>328</v>
      </c>
      <c r="D15" s="7">
        <v>0</v>
      </c>
      <c r="E15" s="7">
        <v>99</v>
      </c>
      <c r="F15" s="7">
        <v>5</v>
      </c>
      <c r="G15" s="7">
        <v>11.6493</v>
      </c>
      <c r="H15" s="7">
        <v>17.7883</v>
      </c>
      <c r="I15" s="7">
        <v>23.456199999999999</v>
      </c>
      <c r="J15" s="7">
        <v>28.6892</v>
      </c>
      <c r="K15" s="7">
        <v>33.520600000000002</v>
      </c>
      <c r="L15" s="7">
        <v>37.981299999999997</v>
      </c>
      <c r="M15" s="7">
        <v>42.099600000000002</v>
      </c>
      <c r="N15" s="7">
        <v>45.902000000000001</v>
      </c>
      <c r="O15" s="7">
        <v>49.412599999999998</v>
      </c>
      <c r="P15" s="7">
        <v>0</v>
      </c>
    </row>
    <row r="16" spans="1:16" x14ac:dyDescent="0.25">
      <c r="C16" s="7" t="s">
        <v>379</v>
      </c>
      <c r="D16" s="7" t="s">
        <v>379</v>
      </c>
      <c r="F16" s="7">
        <v>5.70702</v>
      </c>
      <c r="G16" s="7">
        <v>14.3569</v>
      </c>
      <c r="H16" s="7">
        <v>20.585999999999999</v>
      </c>
      <c r="I16" s="7">
        <v>25.0718</v>
      </c>
      <c r="J16" s="7">
        <v>28.302199999999999</v>
      </c>
      <c r="K16" s="7">
        <v>30.628499999999999</v>
      </c>
      <c r="L16" s="7">
        <v>32.303800000000003</v>
      </c>
      <c r="M16" s="7">
        <v>33.510300000000001</v>
      </c>
      <c r="N16" s="7">
        <v>34.379100000000001</v>
      </c>
      <c r="O16" s="7">
        <v>35.0047</v>
      </c>
      <c r="P16" s="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59"/>
  <sheetViews>
    <sheetView topLeftCell="A176" workbookViewId="0">
      <selection activeCell="B1" sqref="B1"/>
    </sheetView>
  </sheetViews>
  <sheetFormatPr defaultRowHeight="15" x14ac:dyDescent="0.25"/>
  <cols>
    <col min="1" max="1" width="7" bestFit="1" customWidth="1"/>
    <col min="2" max="2" width="12" bestFit="1" customWidth="1"/>
    <col min="3" max="3" width="20.42578125" bestFit="1" customWidth="1"/>
    <col min="4" max="4" width="28.85546875" bestFit="1" customWidth="1"/>
    <col min="5" max="5" width="29" bestFit="1" customWidth="1"/>
  </cols>
  <sheetData>
    <row r="1" spans="1:30" x14ac:dyDescent="0.25">
      <c r="A1" t="s">
        <v>2354</v>
      </c>
      <c r="B1" t="s">
        <v>2355</v>
      </c>
      <c r="C1" t="s">
        <v>2356</v>
      </c>
      <c r="D1" t="s">
        <v>10</v>
      </c>
      <c r="E1" t="s">
        <v>2357</v>
      </c>
      <c r="F1" t="s">
        <v>6</v>
      </c>
      <c r="G1" t="s">
        <v>8</v>
      </c>
      <c r="H1" t="s">
        <v>2358</v>
      </c>
      <c r="I1" t="s">
        <v>2359</v>
      </c>
      <c r="J1" t="s">
        <v>11</v>
      </c>
      <c r="K1" t="s">
        <v>12</v>
      </c>
      <c r="L1" t="s">
        <v>13</v>
      </c>
      <c r="M1" t="s">
        <v>14</v>
      </c>
      <c r="N1" t="s">
        <v>15</v>
      </c>
      <c r="O1" t="s">
        <v>16</v>
      </c>
      <c r="P1" t="s">
        <v>20</v>
      </c>
      <c r="Q1" t="s">
        <v>21</v>
      </c>
      <c r="R1" t="s">
        <v>22</v>
      </c>
      <c r="S1" t="s">
        <v>23</v>
      </c>
      <c r="T1" t="s">
        <v>24</v>
      </c>
      <c r="U1" t="s">
        <v>25</v>
      </c>
      <c r="V1" t="s">
        <v>26</v>
      </c>
      <c r="W1" t="s">
        <v>27</v>
      </c>
      <c r="X1" t="s">
        <v>17</v>
      </c>
      <c r="Y1" t="s">
        <v>18</v>
      </c>
      <c r="Z1" t="s">
        <v>2360</v>
      </c>
      <c r="AA1" t="s">
        <v>28</v>
      </c>
      <c r="AB1" t="s">
        <v>29</v>
      </c>
      <c r="AC1" t="s">
        <v>30</v>
      </c>
      <c r="AD1" t="s">
        <v>31</v>
      </c>
    </row>
    <row r="2" spans="1:30" x14ac:dyDescent="0.25">
      <c r="A2">
        <v>3</v>
      </c>
      <c r="B2">
        <f>LOOKUP(A2,'cluster stats'!$B$21:$B$35,'cluster stats'!$A$21:$A$35)</f>
        <v>4</v>
      </c>
      <c r="C2" t="str">
        <f>VLOOKUP(A2,'cluster stats'!$A$2:$B$16,2,FALSE)</f>
        <v>pelagic sharks</v>
      </c>
      <c r="D2" t="s">
        <v>69</v>
      </c>
      <c r="E2" t="s">
        <v>65</v>
      </c>
      <c r="F2" t="s">
        <v>45</v>
      </c>
      <c r="G2" t="s">
        <v>67</v>
      </c>
      <c r="H2" t="s">
        <v>68</v>
      </c>
      <c r="I2" t="s">
        <v>2361</v>
      </c>
      <c r="J2">
        <v>0.485977697879107</v>
      </c>
      <c r="K2">
        <v>5.0075480520208302</v>
      </c>
      <c r="L2">
        <v>85.617935342052306</v>
      </c>
      <c r="M2">
        <v>3.7549999999999999</v>
      </c>
      <c r="N2">
        <v>63.38</v>
      </c>
      <c r="O2">
        <v>1.0128385</v>
      </c>
      <c r="P2">
        <v>0.10079856025661783</v>
      </c>
      <c r="Q2">
        <v>0.77477464614852398</v>
      </c>
      <c r="R2">
        <v>1.2256967604425111E-2</v>
      </c>
      <c r="S2">
        <v>0</v>
      </c>
      <c r="T2">
        <v>1.5142640905319601E-2</v>
      </c>
      <c r="U2">
        <v>0</v>
      </c>
      <c r="V2">
        <v>9.5912915333856069E-2</v>
      </c>
      <c r="W2">
        <v>1.1142697512574581E-3</v>
      </c>
      <c r="X2" t="s">
        <v>70</v>
      </c>
      <c r="Y2" t="s">
        <v>51</v>
      </c>
      <c r="Z2" t="s">
        <v>45</v>
      </c>
      <c r="AA2">
        <v>1</v>
      </c>
      <c r="AB2">
        <v>0</v>
      </c>
      <c r="AC2">
        <v>0</v>
      </c>
      <c r="AD2">
        <v>0</v>
      </c>
    </row>
    <row r="3" spans="1:30" x14ac:dyDescent="0.25">
      <c r="A3">
        <v>4</v>
      </c>
      <c r="B3">
        <f>LOOKUP(A3,'cluster stats'!$B$21:$B$35,'cluster stats'!$A$21:$A$35)</f>
        <v>4</v>
      </c>
      <c r="C3" t="str">
        <f>VLOOKUP(A3,'cluster stats'!$A$2:$B$16,2,FALSE)</f>
        <v>pelagic sharks</v>
      </c>
      <c r="D3" t="s">
        <v>49</v>
      </c>
      <c r="E3" t="s">
        <v>43</v>
      </c>
      <c r="F3" t="s">
        <v>45</v>
      </c>
      <c r="G3" t="s">
        <v>47</v>
      </c>
      <c r="H3" t="s">
        <v>48</v>
      </c>
      <c r="I3" t="s">
        <v>2362</v>
      </c>
      <c r="J3">
        <v>0.1575</v>
      </c>
      <c r="K3">
        <v>3.5002131749020249</v>
      </c>
      <c r="L3">
        <v>183.40605619365201</v>
      </c>
      <c r="M3">
        <v>4.34</v>
      </c>
      <c r="N3">
        <v>87.51</v>
      </c>
      <c r="O3">
        <v>3.1782750000000002</v>
      </c>
      <c r="P3">
        <v>0.85768576996950074</v>
      </c>
      <c r="Q3">
        <v>8.4341765191183651E-2</v>
      </c>
      <c r="R3">
        <v>5.5005501888670512E-3</v>
      </c>
      <c r="S3">
        <v>3.3336667585517703E-4</v>
      </c>
      <c r="T3">
        <v>4.6771344624965086E-2</v>
      </c>
      <c r="U3">
        <v>0</v>
      </c>
      <c r="V3">
        <v>3.967063375614672E-3</v>
      </c>
      <c r="W3">
        <v>1.4001399740135904E-3</v>
      </c>
      <c r="X3" t="s">
        <v>50</v>
      </c>
      <c r="Y3" t="s">
        <v>51</v>
      </c>
      <c r="Z3" t="s">
        <v>45</v>
      </c>
      <c r="AA3">
        <v>1</v>
      </c>
      <c r="AB3">
        <v>0</v>
      </c>
      <c r="AC3">
        <v>0</v>
      </c>
      <c r="AD3">
        <v>1</v>
      </c>
    </row>
    <row r="4" spans="1:30" x14ac:dyDescent="0.25">
      <c r="A4">
        <v>4</v>
      </c>
      <c r="B4">
        <f>LOOKUP(A4,'cluster stats'!$B$21:$B$35,'cluster stats'!$A$21:$A$35)</f>
        <v>4</v>
      </c>
      <c r="C4" t="str">
        <f>VLOOKUP(A4,'cluster stats'!$A$2:$B$16,2,FALSE)</f>
        <v>pelagic sharks</v>
      </c>
      <c r="D4" t="s">
        <v>55</v>
      </c>
      <c r="E4" t="s">
        <v>52</v>
      </c>
      <c r="F4" t="s">
        <v>45</v>
      </c>
      <c r="G4" t="s">
        <v>47</v>
      </c>
      <c r="H4" t="s">
        <v>54</v>
      </c>
      <c r="I4" t="s">
        <v>2363</v>
      </c>
      <c r="J4">
        <v>0.160714285714286</v>
      </c>
      <c r="K4">
        <v>1.0339962065014676</v>
      </c>
      <c r="L4">
        <v>747.04676478832505</v>
      </c>
      <c r="M4">
        <v>4.53</v>
      </c>
      <c r="N4">
        <v>63.83</v>
      </c>
      <c r="O4">
        <v>1.3859440000000001</v>
      </c>
      <c r="P4">
        <v>0.87132141014350073</v>
      </c>
      <c r="Q4">
        <v>7.0398151677387583E-2</v>
      </c>
      <c r="R4">
        <v>2.4235428544277592E-2</v>
      </c>
      <c r="S4">
        <v>0</v>
      </c>
      <c r="T4">
        <v>2.7697634980471088E-2</v>
      </c>
      <c r="U4">
        <v>0</v>
      </c>
      <c r="V4">
        <v>6.3473746543630249E-3</v>
      </c>
      <c r="W4">
        <v>0</v>
      </c>
      <c r="X4" t="s">
        <v>50</v>
      </c>
      <c r="Y4" t="s">
        <v>51</v>
      </c>
      <c r="Z4" t="s">
        <v>45</v>
      </c>
      <c r="AA4">
        <v>0</v>
      </c>
      <c r="AB4">
        <v>0</v>
      </c>
      <c r="AC4">
        <v>0</v>
      </c>
      <c r="AD4">
        <v>1</v>
      </c>
    </row>
    <row r="5" spans="1:30" x14ac:dyDescent="0.25">
      <c r="A5">
        <v>4</v>
      </c>
      <c r="B5">
        <f>LOOKUP(A5,'cluster stats'!$B$21:$B$35,'cluster stats'!$A$21:$A$35)</f>
        <v>4</v>
      </c>
      <c r="C5" t="str">
        <f>VLOOKUP(A5,'cluster stats'!$A$2:$B$16,2,FALSE)</f>
        <v>pelagic sharks</v>
      </c>
      <c r="D5" t="s">
        <v>61</v>
      </c>
      <c r="E5" t="s">
        <v>57</v>
      </c>
      <c r="F5" t="s">
        <v>45</v>
      </c>
      <c r="G5" t="s">
        <v>59</v>
      </c>
      <c r="H5" t="s">
        <v>60</v>
      </c>
      <c r="I5" t="s">
        <v>2364</v>
      </c>
      <c r="J5">
        <v>0.19644867103973301</v>
      </c>
      <c r="K5">
        <v>1.82667308567074</v>
      </c>
      <c r="L5">
        <v>432.111980148653</v>
      </c>
      <c r="M5">
        <v>4.0966666793823201</v>
      </c>
      <c r="N5">
        <v>81.260000000000005</v>
      </c>
      <c r="O5">
        <v>1.80809</v>
      </c>
      <c r="P5">
        <v>0.75723237314476677</v>
      </c>
      <c r="Q5">
        <v>0.18977469331397137</v>
      </c>
      <c r="R5">
        <v>0</v>
      </c>
      <c r="S5">
        <v>9.9986670947762733E-4</v>
      </c>
      <c r="T5">
        <v>5.1659777936902296E-2</v>
      </c>
      <c r="U5">
        <v>0</v>
      </c>
      <c r="V5">
        <v>3.3328889488188989E-4</v>
      </c>
      <c r="W5">
        <v>0</v>
      </c>
      <c r="X5" t="s">
        <v>50</v>
      </c>
      <c r="Y5" t="s">
        <v>51</v>
      </c>
      <c r="Z5" t="s">
        <v>45</v>
      </c>
      <c r="AA5">
        <v>0</v>
      </c>
      <c r="AB5">
        <v>0</v>
      </c>
      <c r="AC5">
        <v>0</v>
      </c>
      <c r="AD5">
        <v>1</v>
      </c>
    </row>
    <row r="6" spans="1:30" x14ac:dyDescent="0.25">
      <c r="A6">
        <v>4</v>
      </c>
      <c r="B6">
        <f>LOOKUP(A6,'cluster stats'!$B$21:$B$35,'cluster stats'!$A$21:$A$35)</f>
        <v>4</v>
      </c>
      <c r="C6" t="str">
        <f>VLOOKUP(A6,'cluster stats'!$A$2:$B$16,2,FALSE)</f>
        <v>pelagic sharks</v>
      </c>
      <c r="D6" t="s">
        <v>64</v>
      </c>
      <c r="E6" t="s">
        <v>62</v>
      </c>
      <c r="F6" t="s">
        <v>45</v>
      </c>
      <c r="G6" t="s">
        <v>59</v>
      </c>
      <c r="H6" t="s">
        <v>60</v>
      </c>
      <c r="I6" t="s">
        <v>2365</v>
      </c>
      <c r="J6">
        <v>0.15</v>
      </c>
      <c r="K6">
        <v>1.704503714914865</v>
      </c>
      <c r="L6">
        <v>609.59737840114497</v>
      </c>
      <c r="M6">
        <v>4.3266666666666698</v>
      </c>
      <c r="N6">
        <v>86.03</v>
      </c>
      <c r="O6">
        <v>1.8535299999999999</v>
      </c>
      <c r="P6">
        <v>0.85300000088676842</v>
      </c>
      <c r="Q6">
        <v>0.11199999921083421</v>
      </c>
      <c r="R6">
        <v>0</v>
      </c>
      <c r="S6">
        <v>2.0000000497698779E-3</v>
      </c>
      <c r="T6">
        <v>3.2999999852627505E-2</v>
      </c>
      <c r="U6">
        <v>0</v>
      </c>
      <c r="V6">
        <v>0</v>
      </c>
      <c r="W6">
        <v>0</v>
      </c>
      <c r="X6" t="s">
        <v>50</v>
      </c>
      <c r="Y6" t="s">
        <v>51</v>
      </c>
      <c r="Z6" t="s">
        <v>45</v>
      </c>
      <c r="AA6">
        <v>0</v>
      </c>
      <c r="AB6">
        <v>0</v>
      </c>
      <c r="AC6">
        <v>0</v>
      </c>
      <c r="AD6">
        <v>0</v>
      </c>
    </row>
    <row r="7" spans="1:30" x14ac:dyDescent="0.25">
      <c r="A7">
        <v>2</v>
      </c>
      <c r="B7">
        <f>LOOKUP(A7,'cluster stats'!$B$21:$B$35,'cluster stats'!$A$21:$A$35)</f>
        <v>5</v>
      </c>
      <c r="C7" t="str">
        <f>VLOOKUP(A7,'cluster stats'!$A$2:$B$16,2,FALSE)</f>
        <v>large demersal sharks</v>
      </c>
      <c r="D7" t="s">
        <v>76</v>
      </c>
      <c r="E7" t="s">
        <v>74</v>
      </c>
      <c r="F7" t="s">
        <v>45</v>
      </c>
      <c r="G7" t="s">
        <v>47</v>
      </c>
      <c r="H7" t="s">
        <v>48</v>
      </c>
      <c r="I7" t="s">
        <v>2366</v>
      </c>
      <c r="J7">
        <v>0.73346284608476797</v>
      </c>
      <c r="K7">
        <v>3.6548582458633101</v>
      </c>
      <c r="L7">
        <v>103.6</v>
      </c>
      <c r="M7">
        <v>4.3233333333333297</v>
      </c>
      <c r="N7">
        <v>69.760000000000005</v>
      </c>
      <c r="O7">
        <v>1.8274900000000001</v>
      </c>
      <c r="P7">
        <v>0.98199999874830246</v>
      </c>
      <c r="Q7">
        <v>1.2000000834465093E-2</v>
      </c>
      <c r="R7">
        <v>0</v>
      </c>
      <c r="S7">
        <v>0</v>
      </c>
      <c r="T7">
        <v>0</v>
      </c>
      <c r="U7">
        <v>0</v>
      </c>
      <c r="V7">
        <v>6.0000004172325264E-3</v>
      </c>
      <c r="W7">
        <v>0</v>
      </c>
      <c r="X7" t="s">
        <v>70</v>
      </c>
      <c r="Y7" t="s">
        <v>77</v>
      </c>
      <c r="Z7" t="s">
        <v>45</v>
      </c>
      <c r="AA7">
        <v>0</v>
      </c>
      <c r="AB7">
        <v>0</v>
      </c>
      <c r="AC7">
        <v>0</v>
      </c>
      <c r="AD7">
        <v>0</v>
      </c>
    </row>
    <row r="8" spans="1:30" x14ac:dyDescent="0.25">
      <c r="A8">
        <v>2</v>
      </c>
      <c r="B8">
        <f>LOOKUP(A8,'cluster stats'!$B$21:$B$35,'cluster stats'!$A$21:$A$35)</f>
        <v>5</v>
      </c>
      <c r="C8" t="str">
        <f>VLOOKUP(A8,'cluster stats'!$A$2:$B$16,2,FALSE)</f>
        <v>large demersal sharks</v>
      </c>
      <c r="D8" t="s">
        <v>80</v>
      </c>
      <c r="E8" t="s">
        <v>78</v>
      </c>
      <c r="F8" t="s">
        <v>45</v>
      </c>
      <c r="G8" t="s">
        <v>47</v>
      </c>
      <c r="H8" t="s">
        <v>48</v>
      </c>
      <c r="I8" t="s">
        <v>2367</v>
      </c>
      <c r="J8">
        <v>0.34652700648771001</v>
      </c>
      <c r="K8">
        <v>6.3195720354043257</v>
      </c>
      <c r="L8">
        <v>214</v>
      </c>
      <c r="M8">
        <v>4.28</v>
      </c>
      <c r="N8">
        <v>62.25</v>
      </c>
      <c r="O8">
        <v>5.8793899999999999</v>
      </c>
      <c r="P8">
        <v>0.91099999777317042</v>
      </c>
      <c r="Q8">
        <v>2.0000000286102299E-2</v>
      </c>
      <c r="R8">
        <v>0</v>
      </c>
      <c r="S8">
        <v>1.0000000143051149E-2</v>
      </c>
      <c r="T8">
        <v>5.9000001797676095E-2</v>
      </c>
      <c r="U8">
        <v>0</v>
      </c>
      <c r="V8">
        <v>0</v>
      </c>
      <c r="W8">
        <v>0</v>
      </c>
      <c r="X8" t="s">
        <v>70</v>
      </c>
      <c r="Y8" t="s">
        <v>77</v>
      </c>
      <c r="Z8" t="s">
        <v>45</v>
      </c>
      <c r="AA8">
        <v>0</v>
      </c>
      <c r="AB8">
        <v>0</v>
      </c>
      <c r="AC8">
        <v>0</v>
      </c>
      <c r="AD8">
        <v>0</v>
      </c>
    </row>
    <row r="9" spans="1:30" x14ac:dyDescent="0.25">
      <c r="A9">
        <v>2</v>
      </c>
      <c r="B9">
        <f>LOOKUP(A9,'cluster stats'!$B$21:$B$35,'cluster stats'!$A$21:$A$35)</f>
        <v>5</v>
      </c>
      <c r="C9" t="str">
        <f>VLOOKUP(A9,'cluster stats'!$A$2:$B$16,2,FALSE)</f>
        <v>large demersal sharks</v>
      </c>
      <c r="D9" t="s">
        <v>83</v>
      </c>
      <c r="E9" t="s">
        <v>81</v>
      </c>
      <c r="F9" t="s">
        <v>45</v>
      </c>
      <c r="G9" t="s">
        <v>47</v>
      </c>
      <c r="H9" t="s">
        <v>48</v>
      </c>
      <c r="I9" t="s">
        <v>2368</v>
      </c>
      <c r="J9">
        <v>0.25935607864542398</v>
      </c>
      <c r="K9">
        <v>2.0817523707789301</v>
      </c>
      <c r="L9">
        <v>352.87213284766801</v>
      </c>
      <c r="M9">
        <v>4.4766666666666701</v>
      </c>
      <c r="N9">
        <v>79.03</v>
      </c>
      <c r="O9">
        <v>2.0262899999999999</v>
      </c>
      <c r="P9">
        <v>0.60700000123009046</v>
      </c>
      <c r="Q9">
        <v>1.7000000134855548E-2</v>
      </c>
      <c r="R9">
        <v>5.0999998020380792E-2</v>
      </c>
      <c r="S9">
        <v>0</v>
      </c>
      <c r="T9">
        <v>0.30950000140331729</v>
      </c>
      <c r="U9">
        <v>0</v>
      </c>
      <c r="V9">
        <v>1.5499999211356018E-2</v>
      </c>
      <c r="W9">
        <v>0</v>
      </c>
      <c r="X9" t="s">
        <v>70</v>
      </c>
      <c r="Y9" t="s">
        <v>77</v>
      </c>
      <c r="Z9" t="s">
        <v>45</v>
      </c>
      <c r="AA9">
        <v>0</v>
      </c>
      <c r="AB9">
        <v>0</v>
      </c>
      <c r="AC9">
        <v>0</v>
      </c>
      <c r="AD9">
        <v>0</v>
      </c>
    </row>
    <row r="10" spans="1:30" x14ac:dyDescent="0.25">
      <c r="A10">
        <v>2</v>
      </c>
      <c r="B10">
        <f>LOOKUP(A10,'cluster stats'!$B$21:$B$35,'cluster stats'!$A$21:$A$35)</f>
        <v>5</v>
      </c>
      <c r="C10" t="str">
        <f>VLOOKUP(A10,'cluster stats'!$A$2:$B$16,2,FALSE)</f>
        <v>large demersal sharks</v>
      </c>
      <c r="D10" t="s">
        <v>86</v>
      </c>
      <c r="E10" t="s">
        <v>84</v>
      </c>
      <c r="F10" t="s">
        <v>45</v>
      </c>
      <c r="G10" t="s">
        <v>47</v>
      </c>
      <c r="H10" t="s">
        <v>48</v>
      </c>
      <c r="I10" t="s">
        <v>2369</v>
      </c>
      <c r="J10">
        <v>0.21678143367858099</v>
      </c>
      <c r="K10">
        <v>2.38379937211457</v>
      </c>
      <c r="L10">
        <v>362.79165685720301</v>
      </c>
      <c r="M10">
        <v>4.2866666666666697</v>
      </c>
      <c r="N10">
        <v>87.54</v>
      </c>
      <c r="O10">
        <v>1.4435500000000001</v>
      </c>
      <c r="P10">
        <v>0.92315789625172473</v>
      </c>
      <c r="Q10">
        <v>2.7368419855585403E-2</v>
      </c>
      <c r="R10">
        <v>0</v>
      </c>
      <c r="S10">
        <v>4.2105262860697046E-2</v>
      </c>
      <c r="T10">
        <v>5.2631578575871307E-3</v>
      </c>
      <c r="U10">
        <v>0</v>
      </c>
      <c r="V10">
        <v>2.1052631744057151E-3</v>
      </c>
      <c r="W10">
        <v>0</v>
      </c>
      <c r="X10" t="s">
        <v>50</v>
      </c>
      <c r="Y10" t="s">
        <v>77</v>
      </c>
      <c r="Z10" t="s">
        <v>45</v>
      </c>
      <c r="AA10">
        <v>0</v>
      </c>
      <c r="AB10">
        <v>0</v>
      </c>
      <c r="AC10">
        <v>0</v>
      </c>
      <c r="AD10">
        <v>0</v>
      </c>
    </row>
    <row r="11" spans="1:30" x14ac:dyDescent="0.25">
      <c r="A11">
        <v>2</v>
      </c>
      <c r="B11">
        <f>LOOKUP(A11,'cluster stats'!$B$21:$B$35,'cluster stats'!$A$21:$A$35)</f>
        <v>5</v>
      </c>
      <c r="C11" t="str">
        <f>VLOOKUP(A11,'cluster stats'!$A$2:$B$16,2,FALSE)</f>
        <v>large demersal sharks</v>
      </c>
      <c r="D11" t="s">
        <v>89</v>
      </c>
      <c r="E11" t="s">
        <v>87</v>
      </c>
      <c r="F11" t="s">
        <v>45</v>
      </c>
      <c r="G11" t="s">
        <v>47</v>
      </c>
      <c r="H11" t="s">
        <v>48</v>
      </c>
      <c r="I11" t="s">
        <v>2370</v>
      </c>
      <c r="J11">
        <v>0.43089196970627902</v>
      </c>
      <c r="K11">
        <v>3.5664409064990901</v>
      </c>
      <c r="L11">
        <v>176</v>
      </c>
      <c r="M11">
        <v>4.3266666666666698</v>
      </c>
      <c r="N11">
        <v>55.45</v>
      </c>
      <c r="O11">
        <v>2.0004550000000001</v>
      </c>
      <c r="P11">
        <v>0.95108421749861161</v>
      </c>
      <c r="Q11">
        <v>1.2607160158065912E-2</v>
      </c>
      <c r="R11">
        <v>0</v>
      </c>
      <c r="S11">
        <v>5.0428643187177668E-4</v>
      </c>
      <c r="T11">
        <v>3.4291476615835433E-2</v>
      </c>
      <c r="U11">
        <v>0</v>
      </c>
      <c r="V11">
        <v>1.5128592956153279E-3</v>
      </c>
      <c r="W11">
        <v>0</v>
      </c>
      <c r="X11" t="s">
        <v>50</v>
      </c>
      <c r="Y11" t="s">
        <v>77</v>
      </c>
      <c r="Z11" t="s">
        <v>45</v>
      </c>
      <c r="AA11">
        <v>0</v>
      </c>
      <c r="AB11">
        <v>0</v>
      </c>
      <c r="AC11">
        <v>0</v>
      </c>
      <c r="AD11">
        <v>0</v>
      </c>
    </row>
    <row r="12" spans="1:30" x14ac:dyDescent="0.25">
      <c r="A12">
        <v>2</v>
      </c>
      <c r="B12">
        <f>LOOKUP(A12,'cluster stats'!$B$21:$B$35,'cluster stats'!$A$21:$A$35)</f>
        <v>5</v>
      </c>
      <c r="C12" t="str">
        <f>VLOOKUP(A12,'cluster stats'!$A$2:$B$16,2,FALSE)</f>
        <v>large demersal sharks</v>
      </c>
      <c r="D12" t="s">
        <v>102</v>
      </c>
      <c r="E12" t="s">
        <v>97</v>
      </c>
      <c r="F12" t="s">
        <v>45</v>
      </c>
      <c r="G12" t="s">
        <v>100</v>
      </c>
      <c r="H12" t="s">
        <v>101</v>
      </c>
      <c r="I12" t="s">
        <v>2371</v>
      </c>
      <c r="J12">
        <v>0.14401437959754601</v>
      </c>
      <c r="K12">
        <v>2.2625714065478655</v>
      </c>
      <c r="L12">
        <v>432.111980148653</v>
      </c>
      <c r="M12">
        <v>4.0733333333333297</v>
      </c>
      <c r="N12">
        <v>81.38</v>
      </c>
      <c r="O12">
        <v>1.65</v>
      </c>
      <c r="P12">
        <v>0.38000000241597504</v>
      </c>
      <c r="Q12">
        <v>0.18533332942538761</v>
      </c>
      <c r="R12">
        <v>0</v>
      </c>
      <c r="S12">
        <v>0</v>
      </c>
      <c r="T12">
        <v>0.13799999960581441</v>
      </c>
      <c r="U12">
        <v>0</v>
      </c>
      <c r="V12">
        <v>0.29666666855282292</v>
      </c>
      <c r="W12">
        <v>0</v>
      </c>
      <c r="X12" t="s">
        <v>50</v>
      </c>
      <c r="Y12" t="s">
        <v>77</v>
      </c>
      <c r="Z12" t="s">
        <v>45</v>
      </c>
      <c r="AA12">
        <v>1</v>
      </c>
      <c r="AB12">
        <v>0</v>
      </c>
      <c r="AC12">
        <v>0</v>
      </c>
      <c r="AD12">
        <v>1</v>
      </c>
    </row>
    <row r="13" spans="1:30" x14ac:dyDescent="0.25">
      <c r="A13">
        <v>1</v>
      </c>
      <c r="B13">
        <f>LOOKUP(A13,'cluster stats'!$B$21:$B$35,'cluster stats'!$A$21:$A$35)</f>
        <v>6</v>
      </c>
      <c r="C13" t="str">
        <f>VLOOKUP(A13,'cluster stats'!$A$2:$B$16,2,FALSE)</f>
        <v>small sharks and rays</v>
      </c>
      <c r="D13" t="s">
        <v>108</v>
      </c>
      <c r="E13" t="s">
        <v>106</v>
      </c>
      <c r="F13" t="s">
        <v>45</v>
      </c>
      <c r="G13" t="s">
        <v>47</v>
      </c>
      <c r="H13" t="s">
        <v>48</v>
      </c>
      <c r="I13" t="s">
        <v>2372</v>
      </c>
      <c r="J13">
        <v>0.55900621118012395</v>
      </c>
      <c r="K13">
        <v>3.0532242615640852</v>
      </c>
      <c r="L13">
        <v>193.42892522676701</v>
      </c>
      <c r="M13">
        <v>4.25</v>
      </c>
      <c r="N13">
        <v>60.19</v>
      </c>
      <c r="O13">
        <v>2.5648900000000001</v>
      </c>
      <c r="P13">
        <v>0.95900000154018394</v>
      </c>
      <c r="Q13">
        <v>0</v>
      </c>
      <c r="R13">
        <v>0</v>
      </c>
      <c r="S13">
        <v>0</v>
      </c>
      <c r="T13">
        <v>0</v>
      </c>
      <c r="U13">
        <v>0</v>
      </c>
      <c r="V13">
        <v>4.0999998459816021E-2</v>
      </c>
      <c r="W13">
        <v>0</v>
      </c>
      <c r="X13" t="s">
        <v>70</v>
      </c>
      <c r="Y13" t="s">
        <v>109</v>
      </c>
      <c r="Z13" t="s">
        <v>45</v>
      </c>
      <c r="AA13">
        <v>0</v>
      </c>
      <c r="AB13">
        <v>0</v>
      </c>
      <c r="AC13">
        <v>0</v>
      </c>
      <c r="AD13">
        <v>0</v>
      </c>
    </row>
    <row r="14" spans="1:30" x14ac:dyDescent="0.25">
      <c r="A14">
        <v>1</v>
      </c>
      <c r="B14">
        <f>LOOKUP(A14,'cluster stats'!$B$21:$B$35,'cluster stats'!$A$21:$A$35)</f>
        <v>6</v>
      </c>
      <c r="C14" t="str">
        <f>VLOOKUP(A14,'cluster stats'!$A$2:$B$16,2,FALSE)</f>
        <v>small sharks and rays</v>
      </c>
      <c r="D14" t="s">
        <v>122</v>
      </c>
      <c r="E14" t="s">
        <v>119</v>
      </c>
      <c r="F14" t="s">
        <v>45</v>
      </c>
      <c r="G14" t="s">
        <v>116</v>
      </c>
      <c r="H14" t="s">
        <v>133</v>
      </c>
      <c r="I14" t="s">
        <v>2373</v>
      </c>
      <c r="J14">
        <v>0.161703571428571</v>
      </c>
      <c r="K14">
        <v>2.430802525282906</v>
      </c>
      <c r="L14">
        <v>203.44340630536399</v>
      </c>
      <c r="M14">
        <v>3.57</v>
      </c>
      <c r="N14">
        <v>76.83</v>
      </c>
      <c r="O14">
        <v>1.65</v>
      </c>
      <c r="P14">
        <v>0.1271968168339605</v>
      </c>
      <c r="Q14">
        <v>0.6223594420164239</v>
      </c>
      <c r="R14">
        <v>4.9548760825629805E-2</v>
      </c>
      <c r="S14">
        <v>9.9997502173328483E-4</v>
      </c>
      <c r="T14">
        <v>0</v>
      </c>
      <c r="U14">
        <v>0</v>
      </c>
      <c r="V14">
        <v>0.19989500530225252</v>
      </c>
      <c r="W14">
        <v>0</v>
      </c>
      <c r="X14" t="s">
        <v>50</v>
      </c>
      <c r="Y14" t="s">
        <v>77</v>
      </c>
      <c r="Z14" t="s">
        <v>45</v>
      </c>
      <c r="AA14">
        <v>1</v>
      </c>
      <c r="AB14">
        <v>0</v>
      </c>
      <c r="AC14">
        <v>1</v>
      </c>
      <c r="AD14">
        <v>0</v>
      </c>
    </row>
    <row r="15" spans="1:30" x14ac:dyDescent="0.25">
      <c r="A15">
        <v>1</v>
      </c>
      <c r="B15">
        <f>LOOKUP(A15,'cluster stats'!$B$21:$B$35,'cluster stats'!$A$21:$A$35)</f>
        <v>6</v>
      </c>
      <c r="C15" t="str">
        <f>VLOOKUP(A15,'cluster stats'!$A$2:$B$16,2,FALSE)</f>
        <v>small sharks and rays</v>
      </c>
      <c r="D15" t="s">
        <v>128</v>
      </c>
      <c r="E15" t="s">
        <v>126</v>
      </c>
      <c r="F15" t="s">
        <v>45</v>
      </c>
      <c r="G15" t="s">
        <v>116</v>
      </c>
      <c r="H15" t="s">
        <v>133</v>
      </c>
      <c r="I15" t="s">
        <v>2374</v>
      </c>
      <c r="J15">
        <v>0.48826281706673502</v>
      </c>
      <c r="K15">
        <v>7.3955678927630757</v>
      </c>
      <c r="L15">
        <v>126.5</v>
      </c>
      <c r="M15">
        <v>3.4500000476837198</v>
      </c>
      <c r="N15">
        <v>76.13</v>
      </c>
      <c r="O15">
        <v>1.65</v>
      </c>
      <c r="P15">
        <v>8.1079503013051876E-2</v>
      </c>
      <c r="Q15">
        <v>0.44016135666075001</v>
      </c>
      <c r="R15">
        <v>0.2496562000456945</v>
      </c>
      <c r="S15">
        <v>3.3338612223747619E-4</v>
      </c>
      <c r="T15">
        <v>2.9004592361429201E-3</v>
      </c>
      <c r="U15">
        <v>0</v>
      </c>
      <c r="V15">
        <v>0.22273526542773711</v>
      </c>
      <c r="W15">
        <v>3.1338294943860363E-3</v>
      </c>
      <c r="X15" t="s">
        <v>50</v>
      </c>
      <c r="Y15" t="s">
        <v>109</v>
      </c>
      <c r="Z15" t="s">
        <v>45</v>
      </c>
      <c r="AA15">
        <v>0</v>
      </c>
      <c r="AB15">
        <v>0</v>
      </c>
      <c r="AC15">
        <v>0</v>
      </c>
      <c r="AD15">
        <v>0</v>
      </c>
    </row>
    <row r="16" spans="1:30" x14ac:dyDescent="0.25">
      <c r="A16">
        <v>1</v>
      </c>
      <c r="B16">
        <f>LOOKUP(A16,'cluster stats'!$B$21:$B$35,'cluster stats'!$A$21:$A$35)</f>
        <v>6</v>
      </c>
      <c r="C16" t="str">
        <f>VLOOKUP(A16,'cluster stats'!$A$2:$B$16,2,FALSE)</f>
        <v>small sharks and rays</v>
      </c>
      <c r="D16" t="s">
        <v>2375</v>
      </c>
      <c r="E16" t="s">
        <v>130</v>
      </c>
      <c r="F16" t="s">
        <v>45</v>
      </c>
      <c r="G16" t="s">
        <v>116</v>
      </c>
      <c r="H16" t="s">
        <v>133</v>
      </c>
      <c r="I16" t="s">
        <v>2376</v>
      </c>
      <c r="J16">
        <v>0.43182456905731498</v>
      </c>
      <c r="K16">
        <v>3.243929354048146</v>
      </c>
      <c r="L16">
        <v>102.848982615265</v>
      </c>
      <c r="M16">
        <v>3.55</v>
      </c>
      <c r="N16">
        <v>66.88</v>
      </c>
      <c r="O16">
        <v>1.65</v>
      </c>
      <c r="P16">
        <v>0.11600000123634913</v>
      </c>
      <c r="Q16">
        <v>0.50349999721908967</v>
      </c>
      <c r="R16">
        <v>6.1000000477693946E-2</v>
      </c>
      <c r="S16">
        <v>0</v>
      </c>
      <c r="T16">
        <v>0</v>
      </c>
      <c r="U16">
        <v>0</v>
      </c>
      <c r="V16">
        <v>0.31500000121239574</v>
      </c>
      <c r="W16">
        <v>4.4999998544715345E-3</v>
      </c>
      <c r="X16" t="s">
        <v>50</v>
      </c>
      <c r="Y16" t="s">
        <v>109</v>
      </c>
      <c r="Z16" t="s">
        <v>45</v>
      </c>
      <c r="AA16">
        <v>0</v>
      </c>
      <c r="AB16">
        <v>0</v>
      </c>
      <c r="AC16">
        <v>0</v>
      </c>
      <c r="AD16">
        <v>0</v>
      </c>
    </row>
    <row r="17" spans="1:30" x14ac:dyDescent="0.25">
      <c r="A17">
        <v>1</v>
      </c>
      <c r="B17">
        <f>LOOKUP(A17,'cluster stats'!$B$21:$B$35,'cluster stats'!$A$21:$A$35)</f>
        <v>6</v>
      </c>
      <c r="C17" t="str">
        <f>VLOOKUP(A17,'cluster stats'!$A$2:$B$16,2,FALSE)</f>
        <v>small sharks and rays</v>
      </c>
      <c r="D17" t="s">
        <v>186</v>
      </c>
      <c r="E17" t="s">
        <v>184</v>
      </c>
      <c r="F17" t="s">
        <v>45</v>
      </c>
      <c r="G17" t="s">
        <v>67</v>
      </c>
      <c r="H17" t="s">
        <v>68</v>
      </c>
      <c r="I17" t="s">
        <v>2377</v>
      </c>
      <c r="J17">
        <v>0.450766315986181</v>
      </c>
      <c r="K17">
        <v>3.5783946030060303</v>
      </c>
      <c r="L17">
        <v>153.28208811536899</v>
      </c>
      <c r="M17">
        <v>3.64</v>
      </c>
      <c r="N17">
        <v>87.28</v>
      </c>
      <c r="O17">
        <v>1.1266099999999999</v>
      </c>
      <c r="P17">
        <v>0.10079856025661783</v>
      </c>
      <c r="Q17">
        <v>0.77477464614852398</v>
      </c>
      <c r="R17">
        <v>1.2256967604425111E-2</v>
      </c>
      <c r="S17">
        <v>0</v>
      </c>
      <c r="T17">
        <v>1.5142640905319601E-2</v>
      </c>
      <c r="U17">
        <v>0</v>
      </c>
      <c r="V17">
        <v>9.5912915333856069E-2</v>
      </c>
      <c r="W17">
        <v>1.1142697512574581E-3</v>
      </c>
      <c r="X17" t="s">
        <v>50</v>
      </c>
      <c r="Y17" t="s">
        <v>109</v>
      </c>
      <c r="Z17" t="s">
        <v>45</v>
      </c>
      <c r="AA17">
        <v>0</v>
      </c>
      <c r="AB17">
        <v>0</v>
      </c>
      <c r="AC17">
        <v>0</v>
      </c>
      <c r="AD17">
        <v>0</v>
      </c>
    </row>
    <row r="18" spans="1:30" x14ac:dyDescent="0.25">
      <c r="A18">
        <v>1</v>
      </c>
      <c r="B18">
        <f>LOOKUP(A18,'cluster stats'!$B$21:$B$35,'cluster stats'!$A$21:$A$35)</f>
        <v>6</v>
      </c>
      <c r="C18" t="str">
        <f>VLOOKUP(A18,'cluster stats'!$A$2:$B$16,2,FALSE)</f>
        <v>small sharks and rays</v>
      </c>
      <c r="D18" t="s">
        <v>191</v>
      </c>
      <c r="E18" t="s">
        <v>189</v>
      </c>
      <c r="F18" t="s">
        <v>45</v>
      </c>
      <c r="G18" t="s">
        <v>67</v>
      </c>
      <c r="H18" t="s">
        <v>68</v>
      </c>
      <c r="I18" t="s">
        <v>2378</v>
      </c>
      <c r="J18">
        <v>0.40650143516418302</v>
      </c>
      <c r="K18">
        <v>4.2312019080217844</v>
      </c>
      <c r="L18">
        <v>112.96256403167899</v>
      </c>
      <c r="M18">
        <v>3.87</v>
      </c>
      <c r="N18">
        <v>57.61</v>
      </c>
      <c r="O18">
        <v>0.89906699999999995</v>
      </c>
      <c r="P18">
        <v>0.10079856025661783</v>
      </c>
      <c r="Q18">
        <v>0.77477464614852398</v>
      </c>
      <c r="R18">
        <v>1.2256967604425111E-2</v>
      </c>
      <c r="S18">
        <v>0</v>
      </c>
      <c r="T18">
        <v>1.5142640905319601E-2</v>
      </c>
      <c r="U18">
        <v>0</v>
      </c>
      <c r="V18">
        <v>9.5912915333856069E-2</v>
      </c>
      <c r="W18">
        <v>1.1142697512574581E-3</v>
      </c>
      <c r="X18" t="s">
        <v>70</v>
      </c>
      <c r="Y18" t="s">
        <v>109</v>
      </c>
      <c r="Z18" t="s">
        <v>45</v>
      </c>
      <c r="AA18">
        <v>1</v>
      </c>
      <c r="AB18">
        <v>0</v>
      </c>
      <c r="AC18">
        <v>0</v>
      </c>
      <c r="AD18">
        <v>0</v>
      </c>
    </row>
    <row r="19" spans="1:30" x14ac:dyDescent="0.25">
      <c r="A19">
        <v>1</v>
      </c>
      <c r="B19">
        <f>LOOKUP(A19,'cluster stats'!$B$21:$B$35,'cluster stats'!$A$21:$A$35)</f>
        <v>6</v>
      </c>
      <c r="C19" t="str">
        <f>VLOOKUP(A19,'cluster stats'!$A$2:$B$16,2,FALSE)</f>
        <v>small sharks and rays</v>
      </c>
      <c r="D19" t="s">
        <v>160</v>
      </c>
      <c r="E19" t="s">
        <v>156</v>
      </c>
      <c r="F19" t="s">
        <v>45</v>
      </c>
      <c r="G19" t="s">
        <v>158</v>
      </c>
      <c r="H19" t="s">
        <v>159</v>
      </c>
      <c r="I19" t="s">
        <v>2379</v>
      </c>
      <c r="J19">
        <v>0.48230136745548802</v>
      </c>
      <c r="K19">
        <v>5.5991006786070727</v>
      </c>
      <c r="L19">
        <v>86.632978384654706</v>
      </c>
      <c r="M19">
        <v>3.7133333333333298</v>
      </c>
      <c r="N19">
        <v>50.9</v>
      </c>
      <c r="O19">
        <v>1.65</v>
      </c>
      <c r="P19">
        <v>0.23757142817327573</v>
      </c>
      <c r="Q19">
        <v>0.55242857202725104</v>
      </c>
      <c r="R19">
        <v>0.15542857024324222</v>
      </c>
      <c r="S19">
        <v>0</v>
      </c>
      <c r="T19">
        <v>0</v>
      </c>
      <c r="U19">
        <v>0</v>
      </c>
      <c r="V19">
        <v>2.4857142972252787E-2</v>
      </c>
      <c r="W19">
        <v>2.9714286583978237E-2</v>
      </c>
      <c r="X19" t="s">
        <v>50</v>
      </c>
      <c r="Y19" t="s">
        <v>109</v>
      </c>
      <c r="Z19" t="s">
        <v>45</v>
      </c>
      <c r="AA19">
        <v>0</v>
      </c>
      <c r="AB19">
        <v>0</v>
      </c>
      <c r="AC19">
        <v>0</v>
      </c>
      <c r="AD19">
        <v>0</v>
      </c>
    </row>
    <row r="20" spans="1:30" x14ac:dyDescent="0.25">
      <c r="A20">
        <v>1</v>
      </c>
      <c r="B20">
        <f>LOOKUP(A20,'cluster stats'!$B$21:$B$35,'cluster stats'!$A$21:$A$35)</f>
        <v>6</v>
      </c>
      <c r="C20" t="str">
        <f>VLOOKUP(A20,'cluster stats'!$A$2:$B$16,2,FALSE)</f>
        <v>small sharks and rays</v>
      </c>
      <c r="D20" t="s">
        <v>163</v>
      </c>
      <c r="E20" t="s">
        <v>161</v>
      </c>
      <c r="F20" t="s">
        <v>45</v>
      </c>
      <c r="G20" t="s">
        <v>158</v>
      </c>
      <c r="H20" t="s">
        <v>159</v>
      </c>
      <c r="I20" t="s">
        <v>2380</v>
      </c>
      <c r="J20">
        <v>0.64585018080363299</v>
      </c>
      <c r="K20">
        <v>7.3778132654300768</v>
      </c>
      <c r="L20">
        <v>55.063001760527797</v>
      </c>
      <c r="M20">
        <v>3.84</v>
      </c>
      <c r="N20">
        <v>46.56</v>
      </c>
      <c r="O20">
        <v>1.65</v>
      </c>
      <c r="P20">
        <v>0.23757142817327573</v>
      </c>
      <c r="Q20">
        <v>0.55242857202725104</v>
      </c>
      <c r="R20">
        <v>0.15542857024324222</v>
      </c>
      <c r="S20">
        <v>0</v>
      </c>
      <c r="T20">
        <v>0</v>
      </c>
      <c r="U20">
        <v>0</v>
      </c>
      <c r="V20">
        <v>2.4857142972252787E-2</v>
      </c>
      <c r="W20">
        <v>2.9714286583978237E-2</v>
      </c>
      <c r="X20" t="s">
        <v>70</v>
      </c>
      <c r="Y20" t="s">
        <v>109</v>
      </c>
      <c r="Z20" t="s">
        <v>45</v>
      </c>
      <c r="AA20">
        <v>0</v>
      </c>
      <c r="AB20">
        <v>0</v>
      </c>
      <c r="AC20">
        <v>0</v>
      </c>
      <c r="AD20">
        <v>0</v>
      </c>
    </row>
    <row r="21" spans="1:30" x14ac:dyDescent="0.25">
      <c r="A21">
        <v>1</v>
      </c>
      <c r="B21">
        <f>LOOKUP(A21,'cluster stats'!$B$21:$B$35,'cluster stats'!$A$21:$A$35)</f>
        <v>6</v>
      </c>
      <c r="C21" t="str">
        <f>VLOOKUP(A21,'cluster stats'!$A$2:$B$16,2,FALSE)</f>
        <v>small sharks and rays</v>
      </c>
      <c r="D21" t="s">
        <v>2381</v>
      </c>
      <c r="E21" t="s">
        <v>155</v>
      </c>
      <c r="F21" t="s">
        <v>45</v>
      </c>
      <c r="G21" t="s">
        <v>146</v>
      </c>
      <c r="H21" t="s">
        <v>154</v>
      </c>
      <c r="I21" t="s">
        <v>2382</v>
      </c>
      <c r="J21">
        <v>0.31755671731327501</v>
      </c>
      <c r="K21">
        <v>2.4292119758069015</v>
      </c>
      <c r="L21">
        <v>216.750396623234</v>
      </c>
      <c r="M21">
        <v>3.36</v>
      </c>
      <c r="N21">
        <v>63.16</v>
      </c>
      <c r="O21">
        <v>1.65</v>
      </c>
      <c r="P21">
        <v>0.30299999656483506</v>
      </c>
      <c r="Q21">
        <v>0.31800000198910616</v>
      </c>
      <c r="R21">
        <v>1.3333333828051911E-3</v>
      </c>
      <c r="S21">
        <v>0</v>
      </c>
      <c r="T21">
        <v>0</v>
      </c>
      <c r="U21">
        <v>0</v>
      </c>
      <c r="V21">
        <v>0.34900000075514159</v>
      </c>
      <c r="W21">
        <v>2.866666730811197E-2</v>
      </c>
      <c r="X21" t="s">
        <v>50</v>
      </c>
      <c r="Y21" t="s">
        <v>51</v>
      </c>
      <c r="Z21" t="s">
        <v>45</v>
      </c>
      <c r="AA21">
        <v>0</v>
      </c>
      <c r="AB21">
        <v>0</v>
      </c>
      <c r="AC21">
        <v>0</v>
      </c>
      <c r="AD21">
        <v>0</v>
      </c>
    </row>
    <row r="22" spans="1:30" x14ac:dyDescent="0.25">
      <c r="A22">
        <v>1</v>
      </c>
      <c r="B22">
        <f>LOOKUP(A22,'cluster stats'!$B$21:$B$35,'cluster stats'!$A$21:$A$35)</f>
        <v>6</v>
      </c>
      <c r="C22" t="str">
        <f>VLOOKUP(A22,'cluster stats'!$A$2:$B$16,2,FALSE)</f>
        <v>small sharks and rays</v>
      </c>
      <c r="D22" t="s">
        <v>113</v>
      </c>
      <c r="E22" t="s">
        <v>110</v>
      </c>
      <c r="F22" t="s">
        <v>45</v>
      </c>
      <c r="G22" t="s">
        <v>47</v>
      </c>
      <c r="H22" t="s">
        <v>112</v>
      </c>
      <c r="I22" t="s">
        <v>2383</v>
      </c>
      <c r="J22">
        <v>0.55921966556245295</v>
      </c>
      <c r="K22">
        <v>4.5484854003393451</v>
      </c>
      <c r="L22">
        <v>112.96256403167899</v>
      </c>
      <c r="M22">
        <v>4.3033333333333301</v>
      </c>
      <c r="N22">
        <v>45.96</v>
      </c>
      <c r="O22">
        <v>1.5508299999999999</v>
      </c>
      <c r="P22">
        <v>0.7649999985750765</v>
      </c>
      <c r="Q22">
        <v>0.16200000136718146</v>
      </c>
      <c r="R22">
        <v>2.7000000072643183E-2</v>
      </c>
      <c r="S22">
        <v>0</v>
      </c>
      <c r="T22">
        <v>1.7000000333413434E-2</v>
      </c>
      <c r="U22">
        <v>0</v>
      </c>
      <c r="V22">
        <v>2.8999999651685392E-2</v>
      </c>
      <c r="W22">
        <v>0</v>
      </c>
      <c r="X22" t="s">
        <v>50</v>
      </c>
      <c r="Y22" t="s">
        <v>109</v>
      </c>
      <c r="Z22" t="s">
        <v>45</v>
      </c>
      <c r="AA22">
        <v>0</v>
      </c>
      <c r="AB22">
        <v>0</v>
      </c>
      <c r="AC22">
        <v>0</v>
      </c>
      <c r="AD22">
        <v>0</v>
      </c>
    </row>
    <row r="23" spans="1:30" x14ac:dyDescent="0.25">
      <c r="A23">
        <v>1</v>
      </c>
      <c r="B23">
        <f>LOOKUP(A23,'cluster stats'!$B$21:$B$35,'cluster stats'!$A$21:$A$35)</f>
        <v>6</v>
      </c>
      <c r="C23" t="str">
        <f>VLOOKUP(A23,'cluster stats'!$A$2:$B$16,2,FALSE)</f>
        <v>small sharks and rays</v>
      </c>
      <c r="D23" t="s">
        <v>181</v>
      </c>
      <c r="E23" t="s">
        <v>176</v>
      </c>
      <c r="F23" t="s">
        <v>45</v>
      </c>
      <c r="G23" t="s">
        <v>179</v>
      </c>
      <c r="H23" t="s">
        <v>180</v>
      </c>
      <c r="I23" t="s">
        <v>2384</v>
      </c>
      <c r="J23">
        <v>0.40650143516418302</v>
      </c>
      <c r="K23">
        <v>4.7235322681836305</v>
      </c>
      <c r="L23">
        <v>112.96256403167899</v>
      </c>
      <c r="M23">
        <v>4.1100000000000003</v>
      </c>
      <c r="N23">
        <v>70.67</v>
      </c>
      <c r="O23">
        <v>2.3624900000000002</v>
      </c>
      <c r="P23">
        <v>0.81799999931335443</v>
      </c>
      <c r="Q23">
        <v>0</v>
      </c>
      <c r="R23">
        <v>0</v>
      </c>
      <c r="S23">
        <v>0</v>
      </c>
      <c r="T23">
        <v>9.1000000343322771E-2</v>
      </c>
      <c r="U23">
        <v>0</v>
      </c>
      <c r="V23">
        <v>9.1000000343322771E-2</v>
      </c>
      <c r="W23">
        <v>0</v>
      </c>
      <c r="X23" t="s">
        <v>70</v>
      </c>
      <c r="Y23" t="s">
        <v>109</v>
      </c>
      <c r="Z23" t="s">
        <v>45</v>
      </c>
      <c r="AA23">
        <v>0</v>
      </c>
      <c r="AB23">
        <v>0</v>
      </c>
      <c r="AC23">
        <v>0</v>
      </c>
      <c r="AD23">
        <v>0</v>
      </c>
    </row>
    <row r="24" spans="1:30" x14ac:dyDescent="0.25">
      <c r="A24">
        <v>10</v>
      </c>
      <c r="B24">
        <f>LOOKUP(A24,'cluster stats'!$B$21:$B$35,'cluster stats'!$A$21:$A$35)</f>
        <v>7</v>
      </c>
      <c r="C24" t="str">
        <f>VLOOKUP(A24,'cluster stats'!$A$2:$B$16,2,FALSE)</f>
        <v>pelagic piscivores</v>
      </c>
      <c r="D24" t="s">
        <v>917</v>
      </c>
      <c r="E24" t="s">
        <v>914</v>
      </c>
      <c r="F24" t="s">
        <v>2385</v>
      </c>
      <c r="G24" t="s">
        <v>197</v>
      </c>
      <c r="H24" t="s">
        <v>916</v>
      </c>
      <c r="I24" t="s">
        <v>2386</v>
      </c>
      <c r="J24">
        <v>0.55568700988450503</v>
      </c>
      <c r="K24">
        <v>6.4121830126272794</v>
      </c>
      <c r="L24">
        <v>72.403736834253607</v>
      </c>
      <c r="M24">
        <v>4</v>
      </c>
      <c r="N24">
        <v>34.26</v>
      </c>
      <c r="O24">
        <v>3.3622800000000002</v>
      </c>
      <c r="P24">
        <v>0.66385461997159334</v>
      </c>
      <c r="Q24">
        <v>3.1677226124847614E-2</v>
      </c>
      <c r="R24">
        <v>4.0013338699688775E-3</v>
      </c>
      <c r="S24">
        <v>0</v>
      </c>
      <c r="T24">
        <v>1.0003334861248829E-3</v>
      </c>
      <c r="U24">
        <v>2.3341113351257898E-3</v>
      </c>
      <c r="V24">
        <v>4.0013339444995317E-3</v>
      </c>
      <c r="W24">
        <v>0.29313104126784001</v>
      </c>
      <c r="X24" t="s">
        <v>50</v>
      </c>
      <c r="Y24" t="s">
        <v>51</v>
      </c>
      <c r="Z24" t="s">
        <v>2385</v>
      </c>
      <c r="AA24">
        <v>0</v>
      </c>
      <c r="AB24">
        <v>0</v>
      </c>
      <c r="AC24">
        <v>1</v>
      </c>
      <c r="AD24">
        <v>0</v>
      </c>
    </row>
    <row r="25" spans="1:30" x14ac:dyDescent="0.25">
      <c r="A25">
        <v>10</v>
      </c>
      <c r="B25">
        <f>LOOKUP(A25,'cluster stats'!$B$21:$B$35,'cluster stats'!$A$21:$A$35)</f>
        <v>7</v>
      </c>
      <c r="C25" t="str">
        <f>VLOOKUP(A25,'cluster stats'!$A$2:$B$16,2,FALSE)</f>
        <v>pelagic piscivores</v>
      </c>
      <c r="D25" t="s">
        <v>288</v>
      </c>
      <c r="E25" t="s">
        <v>283</v>
      </c>
      <c r="F25" t="s">
        <v>2385</v>
      </c>
      <c r="G25" t="s">
        <v>286</v>
      </c>
      <c r="H25" t="s">
        <v>287</v>
      </c>
      <c r="I25" t="s">
        <v>2387</v>
      </c>
      <c r="J25">
        <v>0.37024195316401298</v>
      </c>
      <c r="K25">
        <v>2.6872731435296702</v>
      </c>
      <c r="L25">
        <v>148.333333333333</v>
      </c>
      <c r="M25">
        <v>4.0366666666666697</v>
      </c>
      <c r="N25">
        <v>43.68</v>
      </c>
      <c r="O25">
        <v>0.98747600000000002</v>
      </c>
      <c r="P25">
        <v>0.66269325410824387</v>
      </c>
      <c r="Q25">
        <v>0.23874477595559757</v>
      </c>
      <c r="R25">
        <v>6.6001319066530673E-3</v>
      </c>
      <c r="S25">
        <v>0</v>
      </c>
      <c r="T25">
        <v>9.1761834026463929E-2</v>
      </c>
      <c r="U25">
        <v>0</v>
      </c>
      <c r="V25">
        <v>2.0000400304157661E-4</v>
      </c>
      <c r="W25">
        <v>0</v>
      </c>
      <c r="X25" t="s">
        <v>50</v>
      </c>
      <c r="Y25" t="s">
        <v>51</v>
      </c>
      <c r="Z25" t="s">
        <v>2385</v>
      </c>
      <c r="AA25">
        <v>1</v>
      </c>
      <c r="AB25">
        <v>1</v>
      </c>
      <c r="AC25">
        <v>0</v>
      </c>
      <c r="AD25">
        <v>1</v>
      </c>
    </row>
    <row r="26" spans="1:30" x14ac:dyDescent="0.25">
      <c r="A26">
        <v>10</v>
      </c>
      <c r="B26">
        <f>LOOKUP(A26,'cluster stats'!$B$21:$B$35,'cluster stats'!$A$21:$A$35)</f>
        <v>7</v>
      </c>
      <c r="C26" t="str">
        <f>VLOOKUP(A26,'cluster stats'!$A$2:$B$16,2,FALSE)</f>
        <v>pelagic piscivores</v>
      </c>
      <c r="D26" t="s">
        <v>292</v>
      </c>
      <c r="E26" t="s">
        <v>289</v>
      </c>
      <c r="F26" t="s">
        <v>2385</v>
      </c>
      <c r="G26" t="s">
        <v>197</v>
      </c>
      <c r="H26" t="s">
        <v>202</v>
      </c>
      <c r="I26" t="s">
        <v>2388</v>
      </c>
      <c r="J26">
        <v>0.38094095405103801</v>
      </c>
      <c r="K26">
        <v>3.8494846003087151</v>
      </c>
      <c r="L26">
        <v>151.1500025</v>
      </c>
      <c r="M26">
        <v>4.3066666666666702</v>
      </c>
      <c r="N26">
        <v>53.95</v>
      </c>
      <c r="O26">
        <v>2.8315700000000001</v>
      </c>
      <c r="P26">
        <v>0.83290908929367735</v>
      </c>
      <c r="Q26">
        <v>0.10281818405277431</v>
      </c>
      <c r="R26">
        <v>0</v>
      </c>
      <c r="S26">
        <v>0</v>
      </c>
      <c r="T26">
        <v>0</v>
      </c>
      <c r="U26">
        <v>0</v>
      </c>
      <c r="V26">
        <v>6.4272726653548329E-2</v>
      </c>
      <c r="W26">
        <v>0</v>
      </c>
      <c r="X26" t="s">
        <v>70</v>
      </c>
      <c r="Y26" t="s">
        <v>51</v>
      </c>
      <c r="Z26" t="s">
        <v>2385</v>
      </c>
      <c r="AA26">
        <v>0</v>
      </c>
      <c r="AB26">
        <v>0</v>
      </c>
      <c r="AC26">
        <v>0</v>
      </c>
      <c r="AD26">
        <v>1</v>
      </c>
    </row>
    <row r="27" spans="1:30" x14ac:dyDescent="0.25">
      <c r="A27">
        <v>10</v>
      </c>
      <c r="B27">
        <f>LOOKUP(A27,'cluster stats'!$B$21:$B$35,'cluster stats'!$A$21:$A$35)</f>
        <v>7</v>
      </c>
      <c r="C27" t="str">
        <f>VLOOKUP(A27,'cluster stats'!$A$2:$B$16,2,FALSE)</f>
        <v>pelagic piscivores</v>
      </c>
      <c r="D27" t="s">
        <v>203</v>
      </c>
      <c r="E27" t="s">
        <v>200</v>
      </c>
      <c r="F27" t="s">
        <v>2385</v>
      </c>
      <c r="G27" t="s">
        <v>197</v>
      </c>
      <c r="H27" t="s">
        <v>202</v>
      </c>
      <c r="I27" t="s">
        <v>2389</v>
      </c>
      <c r="J27">
        <v>0.32054124844577497</v>
      </c>
      <c r="K27">
        <v>4.3382382686430701</v>
      </c>
      <c r="L27">
        <v>163.33320156042799</v>
      </c>
      <c r="M27">
        <v>4.4400000000000004</v>
      </c>
      <c r="N27">
        <v>73.55</v>
      </c>
      <c r="O27">
        <v>3.7442199999999999</v>
      </c>
      <c r="P27">
        <v>0.92085000121340155</v>
      </c>
      <c r="Q27">
        <v>7.8499998812377514E-2</v>
      </c>
      <c r="R27">
        <v>0</v>
      </c>
      <c r="S27">
        <v>0</v>
      </c>
      <c r="T27">
        <v>0</v>
      </c>
      <c r="U27">
        <v>0</v>
      </c>
      <c r="V27">
        <v>6.4999997422099138E-4</v>
      </c>
      <c r="W27">
        <v>0</v>
      </c>
      <c r="X27" t="s">
        <v>70</v>
      </c>
      <c r="Y27" t="s">
        <v>51</v>
      </c>
      <c r="Z27" t="s">
        <v>2385</v>
      </c>
      <c r="AA27">
        <v>0</v>
      </c>
      <c r="AB27">
        <v>1</v>
      </c>
      <c r="AC27">
        <v>0</v>
      </c>
      <c r="AD27">
        <v>1</v>
      </c>
    </row>
    <row r="28" spans="1:30" x14ac:dyDescent="0.25">
      <c r="A28">
        <v>10</v>
      </c>
      <c r="B28">
        <f>LOOKUP(A28,'cluster stats'!$B$21:$B$35,'cluster stats'!$A$21:$A$35)</f>
        <v>7</v>
      </c>
      <c r="C28" t="str">
        <f>VLOOKUP(A28,'cluster stats'!$A$2:$B$16,2,FALSE)</f>
        <v>pelagic piscivores</v>
      </c>
      <c r="D28" t="s">
        <v>263</v>
      </c>
      <c r="E28" t="s">
        <v>259</v>
      </c>
      <c r="F28" t="s">
        <v>2385</v>
      </c>
      <c r="G28" t="s">
        <v>261</v>
      </c>
      <c r="H28" t="s">
        <v>262</v>
      </c>
      <c r="I28" t="s">
        <v>2390</v>
      </c>
      <c r="J28">
        <v>0.27825154518601902</v>
      </c>
      <c r="K28">
        <v>3.1764033042629549</v>
      </c>
      <c r="L28">
        <v>203.44340630536399</v>
      </c>
      <c r="M28">
        <v>4.4366666666666701</v>
      </c>
      <c r="N28">
        <v>78.569999999999993</v>
      </c>
      <c r="O28">
        <v>2.4537100000000001</v>
      </c>
      <c r="P28">
        <v>0.86636490515533049</v>
      </c>
      <c r="Q28">
        <v>5.3055638174060914E-2</v>
      </c>
      <c r="R28">
        <v>0</v>
      </c>
      <c r="S28">
        <v>1.6668055953336777E-4</v>
      </c>
      <c r="T28">
        <v>0</v>
      </c>
      <c r="U28">
        <v>0</v>
      </c>
      <c r="V28">
        <v>4.5003748838648733E-3</v>
      </c>
      <c r="W28">
        <v>7.591240122721031E-2</v>
      </c>
      <c r="X28" t="s">
        <v>50</v>
      </c>
      <c r="Y28" t="s">
        <v>51</v>
      </c>
      <c r="Z28" t="s">
        <v>2385</v>
      </c>
      <c r="AA28">
        <v>0</v>
      </c>
      <c r="AB28">
        <v>0</v>
      </c>
      <c r="AC28">
        <v>1</v>
      </c>
      <c r="AD28">
        <v>1</v>
      </c>
    </row>
    <row r="29" spans="1:30" x14ac:dyDescent="0.25">
      <c r="A29">
        <v>6</v>
      </c>
      <c r="B29">
        <f>LOOKUP(A29,'cluster stats'!$B$21:$B$35,'cluster stats'!$A$21:$A$35)</f>
        <v>45</v>
      </c>
      <c r="C29" t="str">
        <f>VLOOKUP(A29,'cluster stats'!$A$2:$B$16,2,FALSE)</f>
        <v>reef carnivores</v>
      </c>
      <c r="D29" t="s">
        <v>2391</v>
      </c>
      <c r="E29" t="s">
        <v>1733</v>
      </c>
      <c r="F29" t="s">
        <v>2385</v>
      </c>
      <c r="G29" t="s">
        <v>1183</v>
      </c>
      <c r="H29" t="s">
        <v>1735</v>
      </c>
      <c r="I29" t="s">
        <v>2392</v>
      </c>
      <c r="J29">
        <v>0.87048864864989495</v>
      </c>
      <c r="K29">
        <v>5.9056550446332654</v>
      </c>
      <c r="L29">
        <v>34.6467680558738</v>
      </c>
      <c r="M29">
        <v>3.5950000000000002</v>
      </c>
      <c r="N29">
        <v>34.299999999999997</v>
      </c>
      <c r="O29">
        <v>1.2139899999999999</v>
      </c>
      <c r="P29">
        <v>8.3199996551513652E-2</v>
      </c>
      <c r="Q29">
        <v>0.5885000105452538</v>
      </c>
      <c r="R29">
        <v>0</v>
      </c>
      <c r="S29">
        <v>0</v>
      </c>
      <c r="T29">
        <v>0</v>
      </c>
      <c r="U29">
        <v>0</v>
      </c>
      <c r="V29">
        <v>0.30059999322605135</v>
      </c>
      <c r="W29">
        <v>2.7699999677181189E-2</v>
      </c>
      <c r="X29" t="s">
        <v>50</v>
      </c>
      <c r="Y29" t="s">
        <v>77</v>
      </c>
      <c r="Z29" t="s">
        <v>2385</v>
      </c>
      <c r="AA29">
        <v>1</v>
      </c>
      <c r="AB29">
        <v>0</v>
      </c>
      <c r="AC29">
        <v>0</v>
      </c>
      <c r="AD29">
        <v>0</v>
      </c>
    </row>
    <row r="30" spans="1:30" x14ac:dyDescent="0.25">
      <c r="A30">
        <v>6</v>
      </c>
      <c r="B30">
        <f>LOOKUP(A30,'cluster stats'!$B$21:$B$35,'cluster stats'!$A$21:$A$35)</f>
        <v>45</v>
      </c>
      <c r="C30" t="str">
        <f>VLOOKUP(A30,'cluster stats'!$A$2:$B$16,2,FALSE)</f>
        <v>reef carnivores</v>
      </c>
      <c r="D30" t="s">
        <v>925</v>
      </c>
      <c r="E30" t="s">
        <v>921</v>
      </c>
      <c r="F30" t="s">
        <v>2385</v>
      </c>
      <c r="G30" t="s">
        <v>923</v>
      </c>
      <c r="H30" t="s">
        <v>924</v>
      </c>
      <c r="I30" t="s">
        <v>2393</v>
      </c>
      <c r="J30">
        <v>0.34886230390127398</v>
      </c>
      <c r="K30">
        <v>3.9122410876376552</v>
      </c>
      <c r="L30">
        <v>143.22030686389601</v>
      </c>
      <c r="M30">
        <v>4.2233333333333301</v>
      </c>
      <c r="N30">
        <v>45.7</v>
      </c>
      <c r="O30">
        <v>1.90693</v>
      </c>
      <c r="P30">
        <v>0.66943333624474177</v>
      </c>
      <c r="Q30">
        <v>0.33056666375525817</v>
      </c>
      <c r="R30">
        <v>0</v>
      </c>
      <c r="S30">
        <v>0</v>
      </c>
      <c r="T30">
        <v>0</v>
      </c>
      <c r="U30">
        <v>0</v>
      </c>
      <c r="V30">
        <v>0</v>
      </c>
      <c r="W30">
        <v>0</v>
      </c>
      <c r="X30" t="s">
        <v>50</v>
      </c>
      <c r="Y30" t="s">
        <v>77</v>
      </c>
      <c r="Z30" t="s">
        <v>2385</v>
      </c>
      <c r="AA30">
        <v>0</v>
      </c>
      <c r="AB30">
        <v>0</v>
      </c>
      <c r="AC30">
        <v>0</v>
      </c>
      <c r="AD30">
        <v>0</v>
      </c>
    </row>
    <row r="31" spans="1:30" x14ac:dyDescent="0.25">
      <c r="A31">
        <v>6</v>
      </c>
      <c r="B31">
        <f>LOOKUP(A31,'cluster stats'!$B$21:$B$35,'cluster stats'!$A$21:$A$35)</f>
        <v>45</v>
      </c>
      <c r="C31" t="str">
        <f>VLOOKUP(A31,'cluster stats'!$A$2:$B$16,2,FALSE)</f>
        <v>reef carnivores</v>
      </c>
      <c r="D31" t="s">
        <v>933</v>
      </c>
      <c r="E31" t="s">
        <v>928</v>
      </c>
      <c r="F31" t="s">
        <v>2385</v>
      </c>
      <c r="G31" t="s">
        <v>931</v>
      </c>
      <c r="H31" t="s">
        <v>932</v>
      </c>
      <c r="I31" t="s">
        <v>2394</v>
      </c>
      <c r="J31">
        <v>0.51931400000000005</v>
      </c>
      <c r="K31">
        <v>5.5318105425528454</v>
      </c>
      <c r="L31">
        <v>49</v>
      </c>
      <c r="M31">
        <v>3.81666666666667</v>
      </c>
      <c r="N31">
        <v>37.86</v>
      </c>
      <c r="O31">
        <v>0.89915100000000003</v>
      </c>
      <c r="P31">
        <v>0.25814662024180701</v>
      </c>
      <c r="Q31">
        <v>0.42572848788505313</v>
      </c>
      <c r="R31">
        <v>0</v>
      </c>
      <c r="S31">
        <v>0</v>
      </c>
      <c r="T31">
        <v>0</v>
      </c>
      <c r="U31">
        <v>0</v>
      </c>
      <c r="V31">
        <v>0.10020441638444631</v>
      </c>
      <c r="W31">
        <v>0.2159204754886935</v>
      </c>
      <c r="X31" t="s">
        <v>50</v>
      </c>
      <c r="Y31" t="s">
        <v>77</v>
      </c>
      <c r="Z31" t="s">
        <v>2385</v>
      </c>
      <c r="AA31">
        <v>1</v>
      </c>
      <c r="AB31">
        <v>0</v>
      </c>
      <c r="AC31">
        <v>0</v>
      </c>
      <c r="AD31">
        <v>0</v>
      </c>
    </row>
    <row r="32" spans="1:30" x14ac:dyDescent="0.25">
      <c r="A32">
        <v>6</v>
      </c>
      <c r="B32">
        <f>LOOKUP(A32,'cluster stats'!$B$21:$B$35,'cluster stats'!$A$21:$A$35)</f>
        <v>45</v>
      </c>
      <c r="C32" t="str">
        <f>VLOOKUP(A32,'cluster stats'!$A$2:$B$16,2,FALSE)</f>
        <v>reef carnivores</v>
      </c>
      <c r="D32" t="s">
        <v>1397</v>
      </c>
      <c r="E32" t="s">
        <v>1394</v>
      </c>
      <c r="F32" t="s">
        <v>2385</v>
      </c>
      <c r="G32" t="s">
        <v>1381</v>
      </c>
      <c r="H32" t="s">
        <v>1396</v>
      </c>
      <c r="I32" t="s">
        <v>2395</v>
      </c>
      <c r="J32">
        <v>1.15464342908625</v>
      </c>
      <c r="K32">
        <v>12.9255467549778</v>
      </c>
      <c r="L32">
        <v>22.348435240122601</v>
      </c>
      <c r="M32">
        <v>3.35</v>
      </c>
      <c r="N32">
        <v>20.83</v>
      </c>
      <c r="O32">
        <v>3.39567</v>
      </c>
      <c r="P32">
        <v>7.9992000559642132E-2</v>
      </c>
      <c r="Q32">
        <v>0.19396060099211676</v>
      </c>
      <c r="R32">
        <v>2.5197479985571442E-3</v>
      </c>
      <c r="S32">
        <v>9.5790419907308324E-3</v>
      </c>
      <c r="T32">
        <v>0</v>
      </c>
      <c r="U32">
        <v>0</v>
      </c>
      <c r="V32">
        <v>0.15956404554320444</v>
      </c>
      <c r="W32">
        <v>0.55438456291574867</v>
      </c>
      <c r="X32" t="s">
        <v>50</v>
      </c>
      <c r="Y32" t="s">
        <v>77</v>
      </c>
      <c r="Z32" t="s">
        <v>2385</v>
      </c>
      <c r="AA32">
        <v>0</v>
      </c>
      <c r="AB32">
        <v>0</v>
      </c>
      <c r="AC32">
        <v>0</v>
      </c>
      <c r="AD32">
        <v>0</v>
      </c>
    </row>
    <row r="33" spans="1:30" x14ac:dyDescent="0.25">
      <c r="A33">
        <v>6</v>
      </c>
      <c r="B33">
        <f>LOOKUP(A33,'cluster stats'!$B$21:$B$35,'cluster stats'!$A$21:$A$35)</f>
        <v>45</v>
      </c>
      <c r="C33" t="str">
        <f>VLOOKUP(A33,'cluster stats'!$A$2:$B$16,2,FALSE)</f>
        <v>reef carnivores</v>
      </c>
      <c r="D33" t="s">
        <v>307</v>
      </c>
      <c r="E33" t="s">
        <v>304</v>
      </c>
      <c r="F33" t="s">
        <v>2385</v>
      </c>
      <c r="G33" t="s">
        <v>296</v>
      </c>
      <c r="H33" t="s">
        <v>297</v>
      </c>
      <c r="I33" t="s">
        <v>2396</v>
      </c>
      <c r="J33">
        <v>0.39098165000000001</v>
      </c>
      <c r="K33">
        <v>5.5691715544122848</v>
      </c>
      <c r="L33">
        <v>61.325000000000003</v>
      </c>
      <c r="M33">
        <v>4.0999999999999996</v>
      </c>
      <c r="N33">
        <v>39.82</v>
      </c>
      <c r="O33">
        <v>1.7771699999999999</v>
      </c>
      <c r="P33">
        <v>0.48423670835559673</v>
      </c>
      <c r="Q33">
        <v>0.49138707273231375</v>
      </c>
      <c r="R33">
        <v>0</v>
      </c>
      <c r="S33">
        <v>3.5001749278448747E-3</v>
      </c>
      <c r="T33">
        <v>0</v>
      </c>
      <c r="U33">
        <v>0</v>
      </c>
      <c r="V33">
        <v>2.0876043984244617E-2</v>
      </c>
      <c r="W33">
        <v>0</v>
      </c>
      <c r="X33" t="s">
        <v>50</v>
      </c>
      <c r="Y33" t="s">
        <v>77</v>
      </c>
      <c r="Z33" t="s">
        <v>2385</v>
      </c>
      <c r="AA33">
        <v>0</v>
      </c>
      <c r="AB33">
        <v>1</v>
      </c>
      <c r="AC33">
        <v>1</v>
      </c>
      <c r="AD33">
        <v>1</v>
      </c>
    </row>
    <row r="34" spans="1:30" x14ac:dyDescent="0.25">
      <c r="A34">
        <v>6</v>
      </c>
      <c r="B34">
        <f>LOOKUP(A34,'cluster stats'!$B$21:$B$35,'cluster stats'!$A$21:$A$35)</f>
        <v>45</v>
      </c>
      <c r="C34" t="str">
        <f>VLOOKUP(A34,'cluster stats'!$A$2:$B$16,2,FALSE)</f>
        <v>reef carnivores</v>
      </c>
      <c r="D34" t="s">
        <v>339</v>
      </c>
      <c r="E34" t="s">
        <v>334</v>
      </c>
      <c r="F34" t="s">
        <v>2385</v>
      </c>
      <c r="G34" t="s">
        <v>337</v>
      </c>
      <c r="H34" t="s">
        <v>338</v>
      </c>
      <c r="I34" t="s">
        <v>2397</v>
      </c>
      <c r="J34">
        <v>0.26264929999999997</v>
      </c>
      <c r="K34">
        <v>3.2495527783274998</v>
      </c>
      <c r="L34">
        <v>115</v>
      </c>
      <c r="M34">
        <v>3.69</v>
      </c>
      <c r="N34">
        <v>68.06</v>
      </c>
      <c r="O34">
        <v>1.4346300000000001</v>
      </c>
      <c r="P34">
        <v>0.06</v>
      </c>
      <c r="Q34">
        <v>0.94</v>
      </c>
      <c r="R34">
        <v>0</v>
      </c>
      <c r="S34">
        <v>0</v>
      </c>
      <c r="T34">
        <v>0</v>
      </c>
      <c r="U34">
        <v>0</v>
      </c>
      <c r="V34">
        <v>0</v>
      </c>
      <c r="W34">
        <v>0</v>
      </c>
      <c r="X34" t="s">
        <v>50</v>
      </c>
      <c r="Y34" t="s">
        <v>77</v>
      </c>
      <c r="Z34" t="s">
        <v>2385</v>
      </c>
      <c r="AA34">
        <v>1</v>
      </c>
      <c r="AB34">
        <v>0</v>
      </c>
      <c r="AC34">
        <v>0</v>
      </c>
      <c r="AD34">
        <v>0</v>
      </c>
    </row>
    <row r="35" spans="1:30" x14ac:dyDescent="0.25">
      <c r="A35">
        <v>6</v>
      </c>
      <c r="B35">
        <f>LOOKUP(A35,'cluster stats'!$B$21:$B$35,'cluster stats'!$A$21:$A$35)</f>
        <v>45</v>
      </c>
      <c r="C35" t="str">
        <f>VLOOKUP(A35,'cluster stats'!$A$2:$B$16,2,FALSE)</f>
        <v>reef carnivores</v>
      </c>
      <c r="D35" t="s">
        <v>356</v>
      </c>
      <c r="E35" t="s">
        <v>353</v>
      </c>
      <c r="F35" t="s">
        <v>2385</v>
      </c>
      <c r="G35" t="s">
        <v>337</v>
      </c>
      <c r="H35" t="s">
        <v>338</v>
      </c>
      <c r="I35" t="s">
        <v>2398</v>
      </c>
      <c r="J35">
        <v>0.23096230000000001</v>
      </c>
      <c r="K35">
        <v>4.3784796911324602</v>
      </c>
      <c r="L35">
        <v>77.5</v>
      </c>
      <c r="M35">
        <v>4.4000000000000004</v>
      </c>
      <c r="N35">
        <v>68.92</v>
      </c>
      <c r="O35">
        <v>1.5080249999999999</v>
      </c>
      <c r="P35">
        <v>0.97</v>
      </c>
      <c r="Q35">
        <v>0.03</v>
      </c>
      <c r="R35">
        <v>0</v>
      </c>
      <c r="S35">
        <v>0</v>
      </c>
      <c r="T35">
        <v>0</v>
      </c>
      <c r="U35">
        <v>0</v>
      </c>
      <c r="V35">
        <v>0</v>
      </c>
      <c r="W35">
        <v>0</v>
      </c>
      <c r="X35" t="s">
        <v>50</v>
      </c>
      <c r="Y35" t="s">
        <v>77</v>
      </c>
      <c r="Z35" t="s">
        <v>2385</v>
      </c>
      <c r="AA35">
        <v>0</v>
      </c>
      <c r="AB35">
        <v>0</v>
      </c>
      <c r="AC35">
        <v>0</v>
      </c>
      <c r="AD35">
        <v>0</v>
      </c>
    </row>
    <row r="36" spans="1:30" x14ac:dyDescent="0.25">
      <c r="A36">
        <v>6</v>
      </c>
      <c r="B36">
        <f>LOOKUP(A36,'cluster stats'!$B$21:$B$35,'cluster stats'!$A$21:$A$35)</f>
        <v>45</v>
      </c>
      <c r="C36" t="str">
        <f>VLOOKUP(A36,'cluster stats'!$A$2:$B$16,2,FALSE)</f>
        <v>reef carnivores</v>
      </c>
      <c r="D36" t="s">
        <v>1437</v>
      </c>
      <c r="E36" t="s">
        <v>1434</v>
      </c>
      <c r="F36" t="s">
        <v>2385</v>
      </c>
      <c r="G36" t="s">
        <v>197</v>
      </c>
      <c r="H36" t="s">
        <v>1436</v>
      </c>
      <c r="I36" t="s">
        <v>2394</v>
      </c>
      <c r="J36">
        <v>0.84022107703738802</v>
      </c>
      <c r="K36">
        <v>13.0391879715462</v>
      </c>
      <c r="L36">
        <v>36.603057362149499</v>
      </c>
      <c r="M36">
        <v>4.0433333333333303</v>
      </c>
      <c r="N36">
        <v>25.45</v>
      </c>
      <c r="O36">
        <v>3.3526099999999999</v>
      </c>
      <c r="P36">
        <v>0.40034889511046007</v>
      </c>
      <c r="Q36">
        <v>3.5111501079261721E-3</v>
      </c>
      <c r="R36">
        <v>2.000022313975341E-4</v>
      </c>
      <c r="S36">
        <v>0</v>
      </c>
      <c r="T36">
        <v>0</v>
      </c>
      <c r="U36">
        <v>0</v>
      </c>
      <c r="V36">
        <v>0</v>
      </c>
      <c r="W36">
        <v>0.59593995255021615</v>
      </c>
      <c r="X36" t="s">
        <v>50</v>
      </c>
      <c r="Y36" t="s">
        <v>77</v>
      </c>
      <c r="Z36" t="s">
        <v>2385</v>
      </c>
      <c r="AA36">
        <v>1</v>
      </c>
      <c r="AB36">
        <v>0</v>
      </c>
      <c r="AC36">
        <v>0</v>
      </c>
      <c r="AD36">
        <v>1</v>
      </c>
    </row>
    <row r="37" spans="1:30" x14ac:dyDescent="0.25">
      <c r="A37">
        <v>6</v>
      </c>
      <c r="B37">
        <f>LOOKUP(A37,'cluster stats'!$B$21:$B$35,'cluster stats'!$A$21:$A$35)</f>
        <v>45</v>
      </c>
      <c r="C37" t="str">
        <f>VLOOKUP(A37,'cluster stats'!$A$2:$B$16,2,FALSE)</f>
        <v>reef carnivores</v>
      </c>
      <c r="D37" t="s">
        <v>1286</v>
      </c>
      <c r="E37" t="s">
        <v>1284</v>
      </c>
      <c r="F37" t="s">
        <v>2385</v>
      </c>
      <c r="G37" t="s">
        <v>1167</v>
      </c>
      <c r="H37" t="s">
        <v>1168</v>
      </c>
      <c r="I37" t="s">
        <v>2399</v>
      </c>
      <c r="J37">
        <v>0.99049971529642999</v>
      </c>
      <c r="K37">
        <v>8.7983413808505428</v>
      </c>
      <c r="L37">
        <v>28.353395789252101</v>
      </c>
      <c r="M37">
        <v>3.5249999999999999</v>
      </c>
      <c r="N37">
        <v>32.590000000000003</v>
      </c>
      <c r="O37">
        <v>1.65</v>
      </c>
      <c r="P37">
        <v>1.0668088842446474E-3</v>
      </c>
      <c r="Q37">
        <v>0.74306574022806526</v>
      </c>
      <c r="R37">
        <v>0</v>
      </c>
      <c r="S37">
        <v>0</v>
      </c>
      <c r="T37">
        <v>0</v>
      </c>
      <c r="U37">
        <v>0</v>
      </c>
      <c r="V37">
        <v>5.1540204157972884E-2</v>
      </c>
      <c r="W37">
        <v>0.20432724672971711</v>
      </c>
      <c r="X37" t="s">
        <v>50</v>
      </c>
      <c r="Y37" t="s">
        <v>77</v>
      </c>
      <c r="Z37" t="s">
        <v>2385</v>
      </c>
      <c r="AA37">
        <v>0</v>
      </c>
      <c r="AB37">
        <v>0</v>
      </c>
      <c r="AC37">
        <v>0</v>
      </c>
      <c r="AD37">
        <v>0</v>
      </c>
    </row>
    <row r="38" spans="1:30" x14ac:dyDescent="0.25">
      <c r="A38">
        <v>6</v>
      </c>
      <c r="B38">
        <f>LOOKUP(A38,'cluster stats'!$B$21:$B$35,'cluster stats'!$A$21:$A$35)</f>
        <v>45</v>
      </c>
      <c r="C38" t="str">
        <f>VLOOKUP(A38,'cluster stats'!$A$2:$B$16,2,FALSE)</f>
        <v>reef carnivores</v>
      </c>
      <c r="D38" t="s">
        <v>2400</v>
      </c>
      <c r="E38" t="s">
        <v>1796</v>
      </c>
      <c r="F38" t="s">
        <v>2385</v>
      </c>
      <c r="G38" t="s">
        <v>1787</v>
      </c>
      <c r="H38" t="s">
        <v>1792</v>
      </c>
      <c r="I38" t="s">
        <v>2401</v>
      </c>
      <c r="J38">
        <v>0.40417556902673502</v>
      </c>
      <c r="K38">
        <v>5.1246703837405452</v>
      </c>
      <c r="L38">
        <v>113.973095391508</v>
      </c>
      <c r="M38">
        <v>3.39</v>
      </c>
      <c r="N38">
        <v>57.79</v>
      </c>
      <c r="O38">
        <v>1.34209</v>
      </c>
      <c r="P38">
        <v>0</v>
      </c>
      <c r="Q38">
        <v>0</v>
      </c>
      <c r="R38">
        <v>0</v>
      </c>
      <c r="S38">
        <v>0</v>
      </c>
      <c r="T38">
        <v>0</v>
      </c>
      <c r="U38">
        <v>0</v>
      </c>
      <c r="V38">
        <v>0</v>
      </c>
      <c r="W38">
        <v>1</v>
      </c>
      <c r="X38" t="s">
        <v>50</v>
      </c>
      <c r="Y38" t="s">
        <v>77</v>
      </c>
      <c r="Z38" t="s">
        <v>2385</v>
      </c>
      <c r="AA38">
        <v>0</v>
      </c>
      <c r="AB38">
        <v>0</v>
      </c>
      <c r="AC38">
        <v>0</v>
      </c>
      <c r="AD38">
        <v>0</v>
      </c>
    </row>
    <row r="39" spans="1:30" x14ac:dyDescent="0.25">
      <c r="A39">
        <v>6</v>
      </c>
      <c r="B39">
        <f>LOOKUP(A39,'cluster stats'!$B$21:$B$35,'cluster stats'!$A$21:$A$35)</f>
        <v>45</v>
      </c>
      <c r="C39" t="str">
        <f>VLOOKUP(A39,'cluster stats'!$A$2:$B$16,2,FALSE)</f>
        <v>reef carnivores</v>
      </c>
      <c r="D39" t="s">
        <v>1266</v>
      </c>
      <c r="E39" t="s">
        <v>1264</v>
      </c>
      <c r="F39" t="s">
        <v>2385</v>
      </c>
      <c r="G39" t="s">
        <v>1139</v>
      </c>
      <c r="H39" t="s">
        <v>1149</v>
      </c>
      <c r="I39" t="s">
        <v>2402</v>
      </c>
      <c r="J39">
        <v>0.68501873495038401</v>
      </c>
      <c r="K39">
        <v>7.18754410432261</v>
      </c>
      <c r="L39">
        <v>50.254200874415297</v>
      </c>
      <c r="M39">
        <v>4.4033333333333298</v>
      </c>
      <c r="N39">
        <v>38.26</v>
      </c>
      <c r="O39">
        <v>1.8828100000000001</v>
      </c>
      <c r="P39">
        <v>0.80607096056816741</v>
      </c>
      <c r="Q39">
        <v>4.6346826147730377E-2</v>
      </c>
      <c r="R39">
        <v>0</v>
      </c>
      <c r="S39">
        <v>0</v>
      </c>
      <c r="T39">
        <v>0.14758221328410223</v>
      </c>
      <c r="U39">
        <v>0</v>
      </c>
      <c r="V39">
        <v>0</v>
      </c>
      <c r="W39">
        <v>0</v>
      </c>
      <c r="X39" t="s">
        <v>50</v>
      </c>
      <c r="Y39" t="s">
        <v>77</v>
      </c>
      <c r="Z39" t="s">
        <v>2385</v>
      </c>
      <c r="AA39">
        <v>1</v>
      </c>
      <c r="AB39">
        <v>0</v>
      </c>
      <c r="AC39">
        <v>1</v>
      </c>
      <c r="AD39">
        <v>0</v>
      </c>
    </row>
    <row r="40" spans="1:30" x14ac:dyDescent="0.25">
      <c r="A40">
        <v>9</v>
      </c>
      <c r="B40">
        <f>LOOKUP(A40,'cluster stats'!$B$21:$B$35,'cluster stats'!$A$21:$A$35)</f>
        <v>45</v>
      </c>
      <c r="C40" t="str">
        <f>VLOOKUP(A40,'cluster stats'!$A$2:$B$16,2,FALSE)</f>
        <v>reef carnivores</v>
      </c>
      <c r="D40" t="s">
        <v>451</v>
      </c>
      <c r="E40" t="s">
        <v>447</v>
      </c>
      <c r="F40" t="s">
        <v>2385</v>
      </c>
      <c r="G40" t="s">
        <v>449</v>
      </c>
      <c r="H40" t="s">
        <v>450</v>
      </c>
      <c r="I40" t="s">
        <v>2403</v>
      </c>
      <c r="J40">
        <v>0.76475728143212096</v>
      </c>
      <c r="K40">
        <v>7.2454448067185</v>
      </c>
      <c r="L40">
        <v>42.359465323049598</v>
      </c>
      <c r="M40">
        <v>3.4666666666666699</v>
      </c>
      <c r="N40">
        <v>36.78</v>
      </c>
      <c r="O40">
        <v>1.77369</v>
      </c>
      <c r="P40">
        <v>0.11790000158619865</v>
      </c>
      <c r="Q40">
        <v>0.60504999693715567</v>
      </c>
      <c r="R40">
        <v>2.3599999344825696E-2</v>
      </c>
      <c r="S40">
        <v>0</v>
      </c>
      <c r="T40">
        <v>0</v>
      </c>
      <c r="U40">
        <v>0</v>
      </c>
      <c r="V40">
        <v>0.22485000270354774</v>
      </c>
      <c r="W40">
        <v>2.8599999428272203E-2</v>
      </c>
      <c r="X40" t="s">
        <v>70</v>
      </c>
      <c r="Y40" t="s">
        <v>77</v>
      </c>
      <c r="Z40" t="s">
        <v>2385</v>
      </c>
      <c r="AA40">
        <v>0</v>
      </c>
      <c r="AB40">
        <v>1</v>
      </c>
      <c r="AC40">
        <v>1</v>
      </c>
      <c r="AD40">
        <v>1</v>
      </c>
    </row>
    <row r="41" spans="1:30" x14ac:dyDescent="0.25">
      <c r="A41">
        <v>9</v>
      </c>
      <c r="B41">
        <f>LOOKUP(A41,'cluster stats'!$B$21:$B$35,'cluster stats'!$A$21:$A$35)</f>
        <v>45</v>
      </c>
      <c r="C41" t="str">
        <f>VLOOKUP(A41,'cluster stats'!$A$2:$B$16,2,FALSE)</f>
        <v>reef carnivores</v>
      </c>
      <c r="D41" t="s">
        <v>514</v>
      </c>
      <c r="E41" t="s">
        <v>510</v>
      </c>
      <c r="F41" t="s">
        <v>2385</v>
      </c>
      <c r="G41" t="s">
        <v>512</v>
      </c>
      <c r="H41" t="s">
        <v>513</v>
      </c>
      <c r="I41" t="s">
        <v>2404</v>
      </c>
      <c r="J41">
        <v>1.7503210395918301</v>
      </c>
      <c r="K41">
        <v>10.623550810424035</v>
      </c>
      <c r="L41">
        <v>11.7174886485355</v>
      </c>
      <c r="M41">
        <v>3.4</v>
      </c>
      <c r="N41">
        <v>12.47</v>
      </c>
      <c r="O41">
        <v>0.70479400000000003</v>
      </c>
      <c r="P41">
        <v>0</v>
      </c>
      <c r="Q41">
        <v>0.87199999700546249</v>
      </c>
      <c r="R41">
        <v>0</v>
      </c>
      <c r="S41">
        <v>0</v>
      </c>
      <c r="T41">
        <v>0</v>
      </c>
      <c r="U41">
        <v>0</v>
      </c>
      <c r="V41">
        <v>3.7000000101923981E-2</v>
      </c>
      <c r="W41">
        <v>9.100000289261341E-2</v>
      </c>
      <c r="X41" t="s">
        <v>70</v>
      </c>
      <c r="Y41" t="s">
        <v>77</v>
      </c>
      <c r="Z41" t="s">
        <v>2385</v>
      </c>
      <c r="AA41">
        <v>0</v>
      </c>
      <c r="AB41">
        <v>1</v>
      </c>
      <c r="AC41">
        <v>0</v>
      </c>
      <c r="AD41">
        <v>1</v>
      </c>
    </row>
    <row r="42" spans="1:30" x14ac:dyDescent="0.25">
      <c r="A42">
        <v>9</v>
      </c>
      <c r="B42">
        <f>LOOKUP(A42,'cluster stats'!$B$21:$B$35,'cluster stats'!$A$21:$A$35)</f>
        <v>45</v>
      </c>
      <c r="C42" t="str">
        <f>VLOOKUP(A42,'cluster stats'!$A$2:$B$16,2,FALSE)</f>
        <v>reef carnivores</v>
      </c>
      <c r="D42" t="s">
        <v>443</v>
      </c>
      <c r="E42" t="s">
        <v>440</v>
      </c>
      <c r="F42" t="s">
        <v>2385</v>
      </c>
      <c r="G42" t="s">
        <v>337</v>
      </c>
      <c r="H42" t="s">
        <v>442</v>
      </c>
      <c r="I42" t="s">
        <v>2405</v>
      </c>
      <c r="J42">
        <v>0.52426325477990998</v>
      </c>
      <c r="K42">
        <v>5.1250522504526348</v>
      </c>
      <c r="L42">
        <v>68.330277893704505</v>
      </c>
      <c r="M42">
        <v>3.8433333333333302</v>
      </c>
      <c r="N42">
        <v>31.39</v>
      </c>
      <c r="O42">
        <v>1.0318845000000001</v>
      </c>
      <c r="P42">
        <v>0.24966666573923091</v>
      </c>
      <c r="Q42">
        <v>0.56299999926851418</v>
      </c>
      <c r="R42">
        <v>3.300000026403619E-2</v>
      </c>
      <c r="S42">
        <v>0</v>
      </c>
      <c r="T42">
        <v>7.6666663692767463E-3</v>
      </c>
      <c r="U42">
        <v>0</v>
      </c>
      <c r="V42">
        <v>8.033333501365035E-2</v>
      </c>
      <c r="W42">
        <v>6.633333334529154E-2</v>
      </c>
      <c r="X42" t="s">
        <v>70</v>
      </c>
      <c r="Y42" t="s">
        <v>77</v>
      </c>
      <c r="Z42" t="s">
        <v>2385</v>
      </c>
      <c r="AA42">
        <v>0</v>
      </c>
      <c r="AB42">
        <v>0</v>
      </c>
      <c r="AC42">
        <v>0</v>
      </c>
      <c r="AD42">
        <v>0</v>
      </c>
    </row>
    <row r="43" spans="1:30" x14ac:dyDescent="0.25">
      <c r="A43">
        <v>9</v>
      </c>
      <c r="B43">
        <f>LOOKUP(A43,'cluster stats'!$B$21:$B$35,'cluster stats'!$A$21:$A$35)</f>
        <v>45</v>
      </c>
      <c r="C43" t="str">
        <f>VLOOKUP(A43,'cluster stats'!$A$2:$B$16,2,FALSE)</f>
        <v>reef carnivores</v>
      </c>
      <c r="D43" t="s">
        <v>367</v>
      </c>
      <c r="E43" t="s">
        <v>364</v>
      </c>
      <c r="F43" t="s">
        <v>2385</v>
      </c>
      <c r="G43" t="s">
        <v>337</v>
      </c>
      <c r="H43" t="s">
        <v>366</v>
      </c>
      <c r="I43" t="s">
        <v>2406</v>
      </c>
      <c r="J43">
        <v>0.23413100000000001</v>
      </c>
      <c r="K43">
        <v>7.9051699586415953</v>
      </c>
      <c r="L43">
        <v>42</v>
      </c>
      <c r="M43">
        <v>4.17</v>
      </c>
      <c r="N43">
        <v>33.39</v>
      </c>
      <c r="O43">
        <v>2.4293100000000001</v>
      </c>
      <c r="P43">
        <v>0.66199999789237984</v>
      </c>
      <c r="Q43">
        <v>0.3000000009536743</v>
      </c>
      <c r="R43">
        <v>0</v>
      </c>
      <c r="S43">
        <v>0</v>
      </c>
      <c r="T43">
        <v>0</v>
      </c>
      <c r="U43">
        <v>0</v>
      </c>
      <c r="V43">
        <v>3.8000001153945931E-2</v>
      </c>
      <c r="W43">
        <v>0</v>
      </c>
      <c r="X43" t="s">
        <v>70</v>
      </c>
      <c r="Y43" t="s">
        <v>77</v>
      </c>
      <c r="Z43" t="s">
        <v>2385</v>
      </c>
      <c r="AA43">
        <v>0</v>
      </c>
      <c r="AB43">
        <v>1</v>
      </c>
      <c r="AC43">
        <v>1</v>
      </c>
      <c r="AD43">
        <v>1</v>
      </c>
    </row>
    <row r="44" spans="1:30" x14ac:dyDescent="0.25">
      <c r="A44">
        <v>9</v>
      </c>
      <c r="B44">
        <f>LOOKUP(A44,'cluster stats'!$B$21:$B$35,'cluster stats'!$A$21:$A$35)</f>
        <v>45</v>
      </c>
      <c r="C44" t="str">
        <f>VLOOKUP(A44,'cluster stats'!$A$2:$B$16,2,FALSE)</f>
        <v>reef carnivores</v>
      </c>
      <c r="D44" t="s">
        <v>473</v>
      </c>
      <c r="E44" t="s">
        <v>468</v>
      </c>
      <c r="F44" t="s">
        <v>2385</v>
      </c>
      <c r="G44" t="s">
        <v>471</v>
      </c>
      <c r="H44" t="s">
        <v>472</v>
      </c>
      <c r="I44" t="s">
        <v>2407</v>
      </c>
      <c r="J44">
        <v>1.1981004043474499</v>
      </c>
      <c r="K44">
        <v>10.410741831792251</v>
      </c>
      <c r="L44">
        <v>21.1029718069605</v>
      </c>
      <c r="M44">
        <v>3.4099999666213998</v>
      </c>
      <c r="N44">
        <v>24.19</v>
      </c>
      <c r="O44">
        <v>1.0660499999999999</v>
      </c>
      <c r="P44">
        <v>0.27129224463462281</v>
      </c>
      <c r="Q44">
        <v>0.3613118273989937</v>
      </c>
      <c r="R44">
        <v>7.6734592148282127E-2</v>
      </c>
      <c r="S44">
        <v>0</v>
      </c>
      <c r="T44">
        <v>0</v>
      </c>
      <c r="U44">
        <v>0</v>
      </c>
      <c r="V44">
        <v>0.26262449850400288</v>
      </c>
      <c r="W44">
        <v>2.8036837314098381E-2</v>
      </c>
      <c r="X44" t="s">
        <v>70</v>
      </c>
      <c r="Y44" t="s">
        <v>77</v>
      </c>
      <c r="Z44" t="s">
        <v>2385</v>
      </c>
      <c r="AA44">
        <v>0</v>
      </c>
      <c r="AB44">
        <v>0</v>
      </c>
      <c r="AC44">
        <v>0</v>
      </c>
      <c r="AD44">
        <v>0</v>
      </c>
    </row>
    <row r="45" spans="1:30" x14ac:dyDescent="0.25">
      <c r="A45">
        <v>9</v>
      </c>
      <c r="B45">
        <f>LOOKUP(A45,'cluster stats'!$B$21:$B$35,'cluster stats'!$A$21:$A$35)</f>
        <v>45</v>
      </c>
      <c r="C45" t="str">
        <f>VLOOKUP(A45,'cluster stats'!$A$2:$B$16,2,FALSE)</f>
        <v>reef carnivores</v>
      </c>
      <c r="D45" t="s">
        <v>491</v>
      </c>
      <c r="E45" t="s">
        <v>488</v>
      </c>
      <c r="F45" t="s">
        <v>2385</v>
      </c>
      <c r="G45" t="s">
        <v>337</v>
      </c>
      <c r="H45" t="s">
        <v>490</v>
      </c>
      <c r="I45" t="s">
        <v>2408</v>
      </c>
      <c r="J45">
        <v>0.92649175867684996</v>
      </c>
      <c r="K45">
        <v>8.4618289336575145</v>
      </c>
      <c r="L45">
        <v>31.4510411455501</v>
      </c>
      <c r="M45">
        <v>4.2633333333333301</v>
      </c>
      <c r="N45">
        <v>14.62</v>
      </c>
      <c r="O45">
        <v>1.8793150000000001</v>
      </c>
      <c r="P45">
        <v>0.52394999430500366</v>
      </c>
      <c r="Q45">
        <v>7.6899999764345639E-2</v>
      </c>
      <c r="R45">
        <v>0</v>
      </c>
      <c r="S45">
        <v>0</v>
      </c>
      <c r="T45">
        <v>1.0499999561868665E-3</v>
      </c>
      <c r="U45">
        <v>0</v>
      </c>
      <c r="V45">
        <v>6.6450000303279605E-2</v>
      </c>
      <c r="W45">
        <v>0.33165000567118419</v>
      </c>
      <c r="X45" t="s">
        <v>70</v>
      </c>
      <c r="Y45" t="s">
        <v>77</v>
      </c>
      <c r="Z45" t="s">
        <v>2385</v>
      </c>
      <c r="AA45">
        <v>1</v>
      </c>
      <c r="AB45">
        <v>0</v>
      </c>
      <c r="AC45">
        <v>1</v>
      </c>
      <c r="AD45">
        <v>0</v>
      </c>
    </row>
    <row r="46" spans="1:30" x14ac:dyDescent="0.25">
      <c r="A46">
        <v>9</v>
      </c>
      <c r="B46">
        <f>LOOKUP(A46,'cluster stats'!$B$21:$B$35,'cluster stats'!$A$21:$A$35)</f>
        <v>45</v>
      </c>
      <c r="C46" t="str">
        <f>VLOOKUP(A46,'cluster stats'!$A$2:$B$16,2,FALSE)</f>
        <v>reef carnivores</v>
      </c>
      <c r="D46" t="s">
        <v>344</v>
      </c>
      <c r="E46" t="s">
        <v>340</v>
      </c>
      <c r="F46" t="s">
        <v>2385</v>
      </c>
      <c r="G46" t="s">
        <v>337</v>
      </c>
      <c r="H46" t="s">
        <v>343</v>
      </c>
      <c r="I46" t="s">
        <v>2409</v>
      </c>
      <c r="J46">
        <v>0.32047807499999997</v>
      </c>
      <c r="K46">
        <v>3.9575220265140354</v>
      </c>
      <c r="L46">
        <v>82.875</v>
      </c>
      <c r="M46">
        <v>3.5649999999999999</v>
      </c>
      <c r="N46">
        <v>63.98</v>
      </c>
      <c r="O46">
        <v>1.185605</v>
      </c>
      <c r="P46">
        <v>0.15390000126607009</v>
      </c>
      <c r="Q46">
        <v>0.70674999910773684</v>
      </c>
      <c r="R46">
        <v>2.6249999630358064E-2</v>
      </c>
      <c r="S46">
        <v>3.8999999510422297E-3</v>
      </c>
      <c r="T46">
        <v>0</v>
      </c>
      <c r="U46">
        <v>0</v>
      </c>
      <c r="V46">
        <v>1.1850000080492324E-2</v>
      </c>
      <c r="W46">
        <v>9.7349999964300465E-2</v>
      </c>
      <c r="X46" t="s">
        <v>70</v>
      </c>
      <c r="Y46" t="s">
        <v>77</v>
      </c>
      <c r="Z46" t="s">
        <v>2385</v>
      </c>
      <c r="AA46">
        <v>1</v>
      </c>
      <c r="AB46">
        <v>1</v>
      </c>
      <c r="AC46">
        <v>1</v>
      </c>
      <c r="AD46">
        <v>1</v>
      </c>
    </row>
    <row r="47" spans="1:30" x14ac:dyDescent="0.25">
      <c r="A47">
        <v>9</v>
      </c>
      <c r="B47">
        <f>LOOKUP(A47,'cluster stats'!$B$21:$B$35,'cluster stats'!$A$21:$A$35)</f>
        <v>45</v>
      </c>
      <c r="C47" t="str">
        <f>VLOOKUP(A47,'cluster stats'!$A$2:$B$16,2,FALSE)</f>
        <v>reef carnivores</v>
      </c>
      <c r="D47" t="s">
        <v>298</v>
      </c>
      <c r="E47" t="s">
        <v>293</v>
      </c>
      <c r="F47" t="s">
        <v>2385</v>
      </c>
      <c r="G47" t="s">
        <v>296</v>
      </c>
      <c r="H47" t="s">
        <v>297</v>
      </c>
      <c r="I47" t="s">
        <v>2410</v>
      </c>
      <c r="J47">
        <v>0.35155929411764802</v>
      </c>
      <c r="K47">
        <v>4.1964341889310006</v>
      </c>
      <c r="L47">
        <v>92.352941176470594</v>
      </c>
      <c r="M47">
        <v>3.92</v>
      </c>
      <c r="N47">
        <v>55.11</v>
      </c>
      <c r="O47">
        <v>1.43242</v>
      </c>
      <c r="P47">
        <v>0.44501648058581877</v>
      </c>
      <c r="Q47">
        <v>0.44280409900833084</v>
      </c>
      <c r="R47">
        <v>5.2176058770490634E-2</v>
      </c>
      <c r="S47">
        <v>3.6319894593186013E-3</v>
      </c>
      <c r="T47">
        <v>1.2701279123982449E-3</v>
      </c>
      <c r="U47">
        <v>0</v>
      </c>
      <c r="V47">
        <v>5.388853086455539E-2</v>
      </c>
      <c r="W47">
        <v>1.2127133990874504E-3</v>
      </c>
      <c r="X47" t="s">
        <v>70</v>
      </c>
      <c r="Y47" t="s">
        <v>77</v>
      </c>
      <c r="Z47" t="s">
        <v>2385</v>
      </c>
      <c r="AA47">
        <v>1</v>
      </c>
      <c r="AB47">
        <v>1</v>
      </c>
      <c r="AC47">
        <v>0</v>
      </c>
      <c r="AD47">
        <v>1</v>
      </c>
    </row>
    <row r="48" spans="1:30" x14ac:dyDescent="0.25">
      <c r="A48">
        <v>9</v>
      </c>
      <c r="B48">
        <f>LOOKUP(A48,'cluster stats'!$B$21:$B$35,'cluster stats'!$A$21:$A$35)</f>
        <v>45</v>
      </c>
      <c r="C48" t="str">
        <f>VLOOKUP(A48,'cluster stats'!$A$2:$B$16,2,FALSE)</f>
        <v>reef carnivores</v>
      </c>
      <c r="D48" t="s">
        <v>313</v>
      </c>
      <c r="E48" t="s">
        <v>311</v>
      </c>
      <c r="F48" t="s">
        <v>2385</v>
      </c>
      <c r="G48" t="s">
        <v>296</v>
      </c>
      <c r="H48" t="s">
        <v>297</v>
      </c>
      <c r="I48" t="s">
        <v>2411</v>
      </c>
      <c r="J48">
        <v>0.53874869333333197</v>
      </c>
      <c r="K48">
        <v>5.8742911515328853</v>
      </c>
      <c r="L48">
        <v>49.373333333333299</v>
      </c>
      <c r="M48">
        <v>3.7666666666666702</v>
      </c>
      <c r="N48">
        <v>37.21</v>
      </c>
      <c r="O48">
        <v>1.4635899999999999</v>
      </c>
      <c r="P48">
        <v>0.31485713757241252</v>
      </c>
      <c r="Q48">
        <v>0.58130000563224093</v>
      </c>
      <c r="R48">
        <v>2.3371429344353673E-2</v>
      </c>
      <c r="S48">
        <v>6.9571429622073055E-3</v>
      </c>
      <c r="T48">
        <v>2.8857142462420269E-3</v>
      </c>
      <c r="U48">
        <v>0</v>
      </c>
      <c r="V48">
        <v>6.93999988306718E-2</v>
      </c>
      <c r="W48">
        <v>1.2285714118717924E-3</v>
      </c>
      <c r="X48" t="s">
        <v>70</v>
      </c>
      <c r="Y48" t="s">
        <v>77</v>
      </c>
      <c r="Z48" t="s">
        <v>2385</v>
      </c>
      <c r="AA48">
        <v>1</v>
      </c>
      <c r="AB48">
        <v>0</v>
      </c>
      <c r="AC48">
        <v>0</v>
      </c>
      <c r="AD48">
        <v>1</v>
      </c>
    </row>
    <row r="49" spans="1:30" x14ac:dyDescent="0.25">
      <c r="A49">
        <v>9</v>
      </c>
      <c r="B49">
        <f>LOOKUP(A49,'cluster stats'!$B$21:$B$35,'cluster stats'!$A$21:$A$35)</f>
        <v>45</v>
      </c>
      <c r="C49" t="str">
        <f>VLOOKUP(A49,'cluster stats'!$A$2:$B$16,2,FALSE)</f>
        <v>reef carnivores</v>
      </c>
      <c r="D49" t="s">
        <v>330</v>
      </c>
      <c r="E49" t="s">
        <v>326</v>
      </c>
      <c r="F49" t="s">
        <v>2385</v>
      </c>
      <c r="G49" t="s">
        <v>296</v>
      </c>
      <c r="H49" t="s">
        <v>329</v>
      </c>
      <c r="I49" t="s">
        <v>2412</v>
      </c>
      <c r="J49">
        <v>0.46454075714285797</v>
      </c>
      <c r="K49">
        <v>5.7392093057055042</v>
      </c>
      <c r="L49">
        <v>54.142857142857103</v>
      </c>
      <c r="M49">
        <v>3.9366666666666701</v>
      </c>
      <c r="N49">
        <v>64.92</v>
      </c>
      <c r="O49">
        <v>1.7369600000000001</v>
      </c>
      <c r="P49">
        <v>0.35475000046819427</v>
      </c>
      <c r="Q49">
        <v>0.16799999834537527</v>
      </c>
      <c r="R49">
        <v>6.2500000670552202E-3</v>
      </c>
      <c r="S49">
        <v>0</v>
      </c>
      <c r="T49">
        <v>5.000000053644176E-3</v>
      </c>
      <c r="U49">
        <v>2.4500000739693665E-2</v>
      </c>
      <c r="V49">
        <v>7.2000000057220417E-2</v>
      </c>
      <c r="W49">
        <v>0.36950000026881696</v>
      </c>
      <c r="X49" t="s">
        <v>70</v>
      </c>
      <c r="Y49" t="s">
        <v>77</v>
      </c>
      <c r="Z49" t="s">
        <v>2385</v>
      </c>
      <c r="AA49">
        <v>0</v>
      </c>
      <c r="AB49">
        <v>0</v>
      </c>
      <c r="AC49">
        <v>1</v>
      </c>
      <c r="AD49">
        <v>1</v>
      </c>
    </row>
    <row r="50" spans="1:30" x14ac:dyDescent="0.25">
      <c r="A50">
        <v>9</v>
      </c>
      <c r="B50">
        <f>LOOKUP(A50,'cluster stats'!$B$21:$B$35,'cluster stats'!$A$21:$A$35)</f>
        <v>45</v>
      </c>
      <c r="C50" t="str">
        <f>VLOOKUP(A50,'cluster stats'!$A$2:$B$16,2,FALSE)</f>
        <v>reef carnivores</v>
      </c>
      <c r="D50" t="s">
        <v>430</v>
      </c>
      <c r="E50" t="s">
        <v>426</v>
      </c>
      <c r="F50" t="s">
        <v>2385</v>
      </c>
      <c r="G50" t="s">
        <v>428</v>
      </c>
      <c r="H50" t="s">
        <v>429</v>
      </c>
      <c r="I50" t="s">
        <v>2413</v>
      </c>
      <c r="J50">
        <v>0.51931400000000005</v>
      </c>
      <c r="K50">
        <v>6.1531104508194705</v>
      </c>
      <c r="L50">
        <v>44.15</v>
      </c>
      <c r="M50">
        <v>3.6766666666666699</v>
      </c>
      <c r="N50">
        <v>66.42</v>
      </c>
      <c r="O50">
        <v>2.0197099999999999</v>
      </c>
      <c r="P50">
        <v>0.32793606629895944</v>
      </c>
      <c r="Q50">
        <v>0.43467862298447768</v>
      </c>
      <c r="R50">
        <v>0</v>
      </c>
      <c r="S50">
        <v>2.5583545956357717E-3</v>
      </c>
      <c r="T50">
        <v>3.8750323688522392E-3</v>
      </c>
      <c r="U50">
        <v>5.0392085995259697E-2</v>
      </c>
      <c r="V50">
        <v>0.18055983775681522</v>
      </c>
      <c r="W50">
        <v>0</v>
      </c>
      <c r="X50" t="s">
        <v>70</v>
      </c>
      <c r="Y50" t="s">
        <v>77</v>
      </c>
      <c r="Z50" t="s">
        <v>2385</v>
      </c>
      <c r="AA50">
        <v>1</v>
      </c>
      <c r="AB50">
        <v>1</v>
      </c>
      <c r="AC50">
        <v>1</v>
      </c>
      <c r="AD50">
        <v>0</v>
      </c>
    </row>
    <row r="51" spans="1:30" x14ac:dyDescent="0.25">
      <c r="A51">
        <v>9</v>
      </c>
      <c r="B51">
        <f>LOOKUP(A51,'cluster stats'!$B$21:$B$35,'cluster stats'!$A$21:$A$35)</f>
        <v>45</v>
      </c>
      <c r="C51" t="str">
        <f>VLOOKUP(A51,'cluster stats'!$A$2:$B$16,2,FALSE)</f>
        <v>reef carnivores</v>
      </c>
      <c r="D51" t="s">
        <v>573</v>
      </c>
      <c r="E51" t="s">
        <v>571</v>
      </c>
      <c r="F51" t="s">
        <v>2385</v>
      </c>
      <c r="G51" t="s">
        <v>559</v>
      </c>
      <c r="H51" t="s">
        <v>566</v>
      </c>
      <c r="I51" t="s">
        <v>2414</v>
      </c>
      <c r="J51">
        <v>1.0400324152168099</v>
      </c>
      <c r="K51">
        <v>7.9377567333992447</v>
      </c>
      <c r="L51">
        <v>26.285289375079898</v>
      </c>
      <c r="M51">
        <v>3.45333333333333</v>
      </c>
      <c r="N51">
        <v>21.73</v>
      </c>
      <c r="O51">
        <v>1.2694099999999999</v>
      </c>
      <c r="P51">
        <v>3.7000001557469464E-2</v>
      </c>
      <c r="Q51">
        <v>0.94699999773681154</v>
      </c>
      <c r="R51">
        <v>0</v>
      </c>
      <c r="S51">
        <v>0</v>
      </c>
      <c r="T51">
        <v>0</v>
      </c>
      <c r="U51">
        <v>0</v>
      </c>
      <c r="V51">
        <v>0</v>
      </c>
      <c r="W51">
        <v>1.6000000705719039E-2</v>
      </c>
      <c r="X51" t="s">
        <v>70</v>
      </c>
      <c r="Y51" t="s">
        <v>77</v>
      </c>
      <c r="Z51" t="s">
        <v>2385</v>
      </c>
      <c r="AA51">
        <v>0</v>
      </c>
      <c r="AB51">
        <v>1</v>
      </c>
      <c r="AC51">
        <v>0</v>
      </c>
      <c r="AD51">
        <v>1</v>
      </c>
    </row>
    <row r="52" spans="1:30" x14ac:dyDescent="0.25">
      <c r="A52">
        <v>9</v>
      </c>
      <c r="B52">
        <f>LOOKUP(A52,'cluster stats'!$B$21:$B$35,'cluster stats'!$A$21:$A$35)</f>
        <v>45</v>
      </c>
      <c r="C52" t="str">
        <f>VLOOKUP(A52,'cluster stats'!$A$2:$B$16,2,FALSE)</f>
        <v>reef carnivores</v>
      </c>
      <c r="D52" t="s">
        <v>463</v>
      </c>
      <c r="E52" t="s">
        <v>460</v>
      </c>
      <c r="F52" t="s">
        <v>2385</v>
      </c>
      <c r="G52" t="s">
        <v>458</v>
      </c>
      <c r="H52" t="s">
        <v>462</v>
      </c>
      <c r="I52" t="s">
        <v>2415</v>
      </c>
      <c r="J52">
        <v>0.92649175867684996</v>
      </c>
      <c r="K52">
        <v>8.0880857741839236</v>
      </c>
      <c r="L52">
        <v>31.4510411455501</v>
      </c>
      <c r="M52">
        <v>3.4666666666666699</v>
      </c>
      <c r="N52">
        <v>35.29</v>
      </c>
      <c r="O52">
        <v>2.2061500000000001</v>
      </c>
      <c r="P52">
        <v>0.13463333578492659</v>
      </c>
      <c r="Q52">
        <v>0.70466666654704313</v>
      </c>
      <c r="R52">
        <v>3.6666667438629633E-3</v>
      </c>
      <c r="S52">
        <v>0</v>
      </c>
      <c r="T52">
        <v>0</v>
      </c>
      <c r="U52">
        <v>0</v>
      </c>
      <c r="V52">
        <v>0.15316666437116341</v>
      </c>
      <c r="W52">
        <v>3.8666665530039165E-3</v>
      </c>
      <c r="X52" t="s">
        <v>70</v>
      </c>
      <c r="Y52" t="s">
        <v>77</v>
      </c>
      <c r="Z52" t="s">
        <v>2385</v>
      </c>
      <c r="AA52">
        <v>1</v>
      </c>
      <c r="AB52">
        <v>1</v>
      </c>
      <c r="AC52">
        <v>1</v>
      </c>
      <c r="AD52">
        <v>1</v>
      </c>
    </row>
    <row r="53" spans="1:30" x14ac:dyDescent="0.25">
      <c r="A53">
        <v>9</v>
      </c>
      <c r="B53">
        <f>LOOKUP(A53,'cluster stats'!$B$21:$B$35,'cluster stats'!$A$21:$A$35)</f>
        <v>45</v>
      </c>
      <c r="C53" t="str">
        <f>VLOOKUP(A53,'cluster stats'!$A$2:$B$16,2,FALSE)</f>
        <v>reef carnivores</v>
      </c>
      <c r="D53" t="s">
        <v>1914</v>
      </c>
      <c r="E53" t="s">
        <v>1911</v>
      </c>
      <c r="F53" t="s">
        <v>2385</v>
      </c>
      <c r="G53" t="s">
        <v>1904</v>
      </c>
      <c r="H53" t="s">
        <v>1913</v>
      </c>
      <c r="I53" t="s">
        <v>2416</v>
      </c>
      <c r="J53">
        <v>0.47376302963606698</v>
      </c>
      <c r="K53">
        <v>6.8559241981339101</v>
      </c>
      <c r="L53">
        <v>89.068302200590907</v>
      </c>
      <c r="M53">
        <v>3.2</v>
      </c>
      <c r="N53">
        <v>47.51</v>
      </c>
      <c r="O53">
        <v>1.32447</v>
      </c>
      <c r="P53">
        <v>0.25</v>
      </c>
      <c r="Q53">
        <v>0.17499999999999999</v>
      </c>
      <c r="R53">
        <v>0.27500000000000002</v>
      </c>
      <c r="S53">
        <v>0</v>
      </c>
      <c r="T53">
        <v>0</v>
      </c>
      <c r="U53">
        <v>0</v>
      </c>
      <c r="V53">
        <v>0</v>
      </c>
      <c r="W53">
        <v>0.3</v>
      </c>
      <c r="X53" t="s">
        <v>70</v>
      </c>
      <c r="Y53" t="s">
        <v>77</v>
      </c>
      <c r="Z53" t="s">
        <v>2385</v>
      </c>
      <c r="AA53">
        <v>0</v>
      </c>
      <c r="AB53">
        <v>0</v>
      </c>
      <c r="AC53">
        <v>1</v>
      </c>
      <c r="AD53">
        <v>0</v>
      </c>
    </row>
    <row r="54" spans="1:30" x14ac:dyDescent="0.25">
      <c r="A54">
        <v>9</v>
      </c>
      <c r="B54">
        <f>LOOKUP(A54,'cluster stats'!$B$21:$B$35,'cluster stats'!$A$21:$A$35)</f>
        <v>45</v>
      </c>
      <c r="C54" t="str">
        <f>VLOOKUP(A54,'cluster stats'!$A$2:$B$16,2,FALSE)</f>
        <v>reef carnivores</v>
      </c>
      <c r="D54" t="s">
        <v>303</v>
      </c>
      <c r="E54" t="s">
        <v>299</v>
      </c>
      <c r="F54" t="s">
        <v>2385</v>
      </c>
      <c r="G54" t="s">
        <v>296</v>
      </c>
      <c r="H54" t="s">
        <v>302</v>
      </c>
      <c r="I54" t="s">
        <v>2417</v>
      </c>
      <c r="J54">
        <v>0.44960260000000002</v>
      </c>
      <c r="K54">
        <v>6.5941118566695796</v>
      </c>
      <c r="L54">
        <v>63</v>
      </c>
      <c r="M54">
        <v>4.1100000000000003</v>
      </c>
      <c r="N54">
        <v>49.58</v>
      </c>
      <c r="O54">
        <v>2.7719999999999998</v>
      </c>
      <c r="P54">
        <v>0.23144444793815513</v>
      </c>
      <c r="Q54">
        <v>0.23317777311402429</v>
      </c>
      <c r="R54">
        <v>1.4444444003710415E-3</v>
      </c>
      <c r="S54">
        <v>0</v>
      </c>
      <c r="T54">
        <v>0.18488889172459824</v>
      </c>
      <c r="U54">
        <v>0</v>
      </c>
      <c r="V54">
        <v>0.14499999693719032</v>
      </c>
      <c r="W54">
        <v>0.20404444588566095</v>
      </c>
      <c r="X54" t="s">
        <v>70</v>
      </c>
      <c r="Y54" t="s">
        <v>77</v>
      </c>
      <c r="Z54" t="s">
        <v>2385</v>
      </c>
      <c r="AA54">
        <v>0</v>
      </c>
      <c r="AB54">
        <v>1</v>
      </c>
      <c r="AC54">
        <v>0</v>
      </c>
      <c r="AD54">
        <v>1</v>
      </c>
    </row>
    <row r="55" spans="1:30" x14ac:dyDescent="0.25">
      <c r="A55">
        <v>9</v>
      </c>
      <c r="B55">
        <f>LOOKUP(A55,'cluster stats'!$B$21:$B$35,'cluster stats'!$A$21:$A$35)</f>
        <v>45</v>
      </c>
      <c r="C55" t="str">
        <f>VLOOKUP(A55,'cluster stats'!$A$2:$B$16,2,FALSE)</f>
        <v>reef carnivores</v>
      </c>
      <c r="D55" t="s">
        <v>1144</v>
      </c>
      <c r="E55" t="s">
        <v>1142</v>
      </c>
      <c r="F55" t="s">
        <v>2385</v>
      </c>
      <c r="G55" t="s">
        <v>1139</v>
      </c>
      <c r="H55" t="s">
        <v>1140</v>
      </c>
      <c r="I55" t="s">
        <v>2418</v>
      </c>
      <c r="J55">
        <v>0.716456630664146</v>
      </c>
      <c r="K55">
        <v>8.5032947269759749</v>
      </c>
      <c r="L55">
        <v>46.873397651643799</v>
      </c>
      <c r="M55">
        <v>4.3099999999999996</v>
      </c>
      <c r="N55">
        <v>29.01</v>
      </c>
      <c r="O55">
        <v>2.5407600000000001</v>
      </c>
      <c r="P55">
        <v>0.90649999877914789</v>
      </c>
      <c r="Q55">
        <v>8.9300001428335857E-2</v>
      </c>
      <c r="R55">
        <v>4.1999997925162335E-3</v>
      </c>
      <c r="S55">
        <v>0</v>
      </c>
      <c r="T55">
        <v>0</v>
      </c>
      <c r="U55">
        <v>0</v>
      </c>
      <c r="V55">
        <v>0</v>
      </c>
      <c r="W55">
        <v>0</v>
      </c>
      <c r="X55" t="s">
        <v>70</v>
      </c>
      <c r="Y55" t="s">
        <v>77</v>
      </c>
      <c r="Z55" t="s">
        <v>2385</v>
      </c>
      <c r="AA55">
        <v>0</v>
      </c>
      <c r="AB55">
        <v>0</v>
      </c>
      <c r="AC55">
        <v>0</v>
      </c>
      <c r="AD55">
        <v>0</v>
      </c>
    </row>
    <row r="56" spans="1:30" x14ac:dyDescent="0.25">
      <c r="A56">
        <v>9</v>
      </c>
      <c r="B56">
        <f>LOOKUP(A56,'cluster stats'!$B$21:$B$35,'cluster stats'!$A$21:$A$35)</f>
        <v>45</v>
      </c>
      <c r="C56" t="str">
        <f>VLOOKUP(A56,'cluster stats'!$A$2:$B$16,2,FALSE)</f>
        <v>reef carnivores</v>
      </c>
      <c r="D56" t="s">
        <v>481</v>
      </c>
      <c r="E56" t="s">
        <v>478</v>
      </c>
      <c r="F56" t="s">
        <v>2385</v>
      </c>
      <c r="G56" t="s">
        <v>408</v>
      </c>
      <c r="H56" t="s">
        <v>480</v>
      </c>
      <c r="I56" t="s">
        <v>2419</v>
      </c>
      <c r="J56">
        <v>0.84022107703738802</v>
      </c>
      <c r="K56">
        <v>5.4794983604449943</v>
      </c>
      <c r="L56">
        <v>36.603057362149499</v>
      </c>
      <c r="M56">
        <v>3.8533333333333299</v>
      </c>
      <c r="N56">
        <v>46.59</v>
      </c>
      <c r="O56">
        <v>1.03634</v>
      </c>
      <c r="P56">
        <v>0.14299999986171755</v>
      </c>
      <c r="Q56">
        <v>0.85700000013828237</v>
      </c>
      <c r="R56">
        <v>0</v>
      </c>
      <c r="S56">
        <v>0</v>
      </c>
      <c r="T56">
        <v>0</v>
      </c>
      <c r="U56">
        <v>0</v>
      </c>
      <c r="V56">
        <v>0</v>
      </c>
      <c r="W56">
        <v>0</v>
      </c>
      <c r="X56" t="s">
        <v>70</v>
      </c>
      <c r="Y56" t="s">
        <v>77</v>
      </c>
      <c r="Z56" t="s">
        <v>2385</v>
      </c>
      <c r="AA56">
        <v>0</v>
      </c>
      <c r="AB56">
        <v>0</v>
      </c>
      <c r="AC56">
        <v>0</v>
      </c>
      <c r="AD56">
        <v>0</v>
      </c>
    </row>
    <row r="57" spans="1:30" x14ac:dyDescent="0.25">
      <c r="A57">
        <v>9</v>
      </c>
      <c r="B57">
        <f>LOOKUP(A57,'cluster stats'!$B$21:$B$35,'cluster stats'!$A$21:$A$35)</f>
        <v>45</v>
      </c>
      <c r="C57" t="str">
        <f>VLOOKUP(A57,'cluster stats'!$A$2:$B$16,2,FALSE)</f>
        <v>reef carnivores</v>
      </c>
      <c r="D57" t="s">
        <v>582</v>
      </c>
      <c r="E57" t="s">
        <v>580</v>
      </c>
      <c r="F57" t="s">
        <v>2385</v>
      </c>
      <c r="G57" t="s">
        <v>408</v>
      </c>
      <c r="H57" t="s">
        <v>480</v>
      </c>
      <c r="I57" t="s">
        <v>2420</v>
      </c>
      <c r="J57">
        <v>1.57440534052281</v>
      </c>
      <c r="K57">
        <v>9.276528040342205</v>
      </c>
      <c r="L57">
        <v>13.8112075901966</v>
      </c>
      <c r="M57">
        <v>3.7744444444444398</v>
      </c>
      <c r="N57">
        <v>29.01</v>
      </c>
      <c r="O57">
        <v>0.731549</v>
      </c>
      <c r="P57">
        <v>4.8666666430864189E-2</v>
      </c>
      <c r="Q57">
        <v>0.7949666667132359</v>
      </c>
      <c r="R57">
        <v>3.18333333730118E-2</v>
      </c>
      <c r="S57">
        <v>0</v>
      </c>
      <c r="T57">
        <v>0</v>
      </c>
      <c r="U57">
        <v>0</v>
      </c>
      <c r="V57">
        <v>5.4200000195036416E-2</v>
      </c>
      <c r="W57">
        <v>7.0333333287851574E-2</v>
      </c>
      <c r="X57" t="s">
        <v>70</v>
      </c>
      <c r="Y57" t="s">
        <v>77</v>
      </c>
      <c r="Z57" t="s">
        <v>2385</v>
      </c>
      <c r="AA57">
        <v>0</v>
      </c>
      <c r="AB57">
        <v>0</v>
      </c>
      <c r="AC57">
        <v>1</v>
      </c>
      <c r="AD57">
        <v>1</v>
      </c>
    </row>
    <row r="58" spans="1:30" x14ac:dyDescent="0.25">
      <c r="A58">
        <v>9</v>
      </c>
      <c r="B58">
        <f>LOOKUP(A58,'cluster stats'!$B$21:$B$35,'cluster stats'!$A$21:$A$35)</f>
        <v>45</v>
      </c>
      <c r="C58" t="str">
        <f>VLOOKUP(A58,'cluster stats'!$A$2:$B$16,2,FALSE)</f>
        <v>reef carnivores</v>
      </c>
      <c r="D58" t="s">
        <v>551</v>
      </c>
      <c r="E58" t="s">
        <v>549</v>
      </c>
      <c r="F58" t="s">
        <v>2385</v>
      </c>
      <c r="G58" t="s">
        <v>471</v>
      </c>
      <c r="H58" t="s">
        <v>533</v>
      </c>
      <c r="I58" t="s">
        <v>2421</v>
      </c>
      <c r="J58">
        <v>0.92649175867684996</v>
      </c>
      <c r="K58">
        <v>8.5761214596644493</v>
      </c>
      <c r="L58">
        <v>31.4510411455501</v>
      </c>
      <c r="M58">
        <v>3.5533333333333301</v>
      </c>
      <c r="N58">
        <v>31.02</v>
      </c>
      <c r="O58">
        <v>1.4472</v>
      </c>
      <c r="P58">
        <v>8.6999995603561572E-2</v>
      </c>
      <c r="Q58">
        <v>0.91300000439643847</v>
      </c>
      <c r="R58">
        <v>0</v>
      </c>
      <c r="S58">
        <v>0</v>
      </c>
      <c r="T58">
        <v>0</v>
      </c>
      <c r="U58">
        <v>0</v>
      </c>
      <c r="V58">
        <v>0</v>
      </c>
      <c r="W58">
        <v>0</v>
      </c>
      <c r="X58" t="s">
        <v>70</v>
      </c>
      <c r="Y58" t="s">
        <v>77</v>
      </c>
      <c r="Z58" t="s">
        <v>2385</v>
      </c>
      <c r="AA58">
        <v>0</v>
      </c>
      <c r="AB58">
        <v>0</v>
      </c>
      <c r="AC58">
        <v>0</v>
      </c>
      <c r="AD58">
        <v>0</v>
      </c>
    </row>
    <row r="59" spans="1:30" x14ac:dyDescent="0.25">
      <c r="A59">
        <v>9</v>
      </c>
      <c r="B59">
        <f>LOOKUP(A59,'cluster stats'!$B$21:$B$35,'cluster stats'!$A$21:$A$35)</f>
        <v>45</v>
      </c>
      <c r="C59" t="str">
        <f>VLOOKUP(A59,'cluster stats'!$A$2:$B$16,2,FALSE)</f>
        <v>reef carnivores</v>
      </c>
      <c r="D59" t="s">
        <v>2422</v>
      </c>
      <c r="E59" t="s">
        <v>1262</v>
      </c>
      <c r="F59" t="s">
        <v>2385</v>
      </c>
      <c r="G59" t="s">
        <v>1127</v>
      </c>
      <c r="H59" t="s">
        <v>1134</v>
      </c>
      <c r="I59" t="s">
        <v>2423</v>
      </c>
      <c r="J59">
        <v>0.79753164567697099</v>
      </c>
      <c r="K59">
        <v>8.5380522700116686</v>
      </c>
      <c r="L59">
        <v>39.688532175186502</v>
      </c>
      <c r="M59">
        <v>3.2861111111111101</v>
      </c>
      <c r="N59">
        <v>26.41</v>
      </c>
      <c r="O59">
        <v>1.65</v>
      </c>
      <c r="P59">
        <v>1.1670228408956236E-2</v>
      </c>
      <c r="Q59">
        <v>0.65052758451132731</v>
      </c>
      <c r="R59">
        <v>0</v>
      </c>
      <c r="S59">
        <v>0</v>
      </c>
      <c r="T59">
        <v>0</v>
      </c>
      <c r="U59">
        <v>1.068518734313419E-3</v>
      </c>
      <c r="V59">
        <v>3.7314679369691689E-3</v>
      </c>
      <c r="W59">
        <v>0.33300220040843387</v>
      </c>
      <c r="X59" t="s">
        <v>70</v>
      </c>
      <c r="Y59" t="s">
        <v>77</v>
      </c>
      <c r="Z59" t="s">
        <v>2385</v>
      </c>
      <c r="AA59">
        <v>0</v>
      </c>
      <c r="AB59">
        <v>0</v>
      </c>
      <c r="AC59">
        <v>1</v>
      </c>
      <c r="AD59">
        <v>0</v>
      </c>
    </row>
    <row r="60" spans="1:30" x14ac:dyDescent="0.25">
      <c r="A60">
        <v>9</v>
      </c>
      <c r="B60">
        <f>LOOKUP(A60,'cluster stats'!$B$21:$B$35,'cluster stats'!$A$21:$A$35)</f>
        <v>45</v>
      </c>
      <c r="C60" t="str">
        <f>VLOOKUP(A60,'cluster stats'!$A$2:$B$16,2,FALSE)</f>
        <v>reef carnivores</v>
      </c>
      <c r="D60" t="s">
        <v>1150</v>
      </c>
      <c r="E60" t="s">
        <v>1147</v>
      </c>
      <c r="F60" t="s">
        <v>2385</v>
      </c>
      <c r="G60" t="s">
        <v>1139</v>
      </c>
      <c r="H60" t="s">
        <v>1149</v>
      </c>
      <c r="I60" t="s">
        <v>2424</v>
      </c>
      <c r="J60">
        <v>0.70654144756941195</v>
      </c>
      <c r="K60">
        <v>6.6476695495484943</v>
      </c>
      <c r="L60">
        <v>47.898287028903603</v>
      </c>
      <c r="M60">
        <v>4.3133333333333299</v>
      </c>
      <c r="N60">
        <v>29.66</v>
      </c>
      <c r="O60">
        <v>1.5607899999999999</v>
      </c>
      <c r="P60">
        <v>0.94499999999999995</v>
      </c>
      <c r="Q60">
        <v>5.0000000000000001E-3</v>
      </c>
      <c r="R60">
        <v>0</v>
      </c>
      <c r="S60">
        <v>0</v>
      </c>
      <c r="T60">
        <v>0.05</v>
      </c>
      <c r="U60">
        <v>0</v>
      </c>
      <c r="V60">
        <v>0</v>
      </c>
      <c r="W60">
        <v>0</v>
      </c>
      <c r="X60" t="s">
        <v>70</v>
      </c>
      <c r="Y60" t="s">
        <v>77</v>
      </c>
      <c r="Z60" t="s">
        <v>2385</v>
      </c>
      <c r="AA60">
        <v>1</v>
      </c>
      <c r="AB60">
        <v>1</v>
      </c>
      <c r="AC60">
        <v>0</v>
      </c>
      <c r="AD60">
        <v>1</v>
      </c>
    </row>
    <row r="61" spans="1:30" x14ac:dyDescent="0.25">
      <c r="A61">
        <v>7</v>
      </c>
      <c r="B61">
        <f>LOOKUP(A61,'cluster stats'!$B$21:$B$35,'cluster stats'!$A$21:$A$35)</f>
        <v>47</v>
      </c>
      <c r="C61" t="str">
        <f>VLOOKUP(A61,'cluster stats'!$A$2:$B$16,2,FALSE)</f>
        <v>reef invertivores</v>
      </c>
      <c r="D61" t="s">
        <v>772</v>
      </c>
      <c r="E61" t="s">
        <v>768</v>
      </c>
      <c r="F61" t="s">
        <v>2385</v>
      </c>
      <c r="G61" t="s">
        <v>770</v>
      </c>
      <c r="H61" t="s">
        <v>771</v>
      </c>
      <c r="I61" t="s">
        <v>2425</v>
      </c>
      <c r="J61">
        <v>0.63085833699001304</v>
      </c>
      <c r="K61">
        <v>9.3164296037617902</v>
      </c>
      <c r="L61">
        <v>57.107207332300703</v>
      </c>
      <c r="M61">
        <v>3.1566666666666698</v>
      </c>
      <c r="N61">
        <v>31.74</v>
      </c>
      <c r="O61">
        <v>1.3695900000000001</v>
      </c>
      <c r="P61">
        <v>0</v>
      </c>
      <c r="Q61">
        <v>4.7752387707273108E-2</v>
      </c>
      <c r="R61">
        <v>0.47292365045273799</v>
      </c>
      <c r="S61">
        <v>7.0853544711010435E-2</v>
      </c>
      <c r="T61">
        <v>0</v>
      </c>
      <c r="U61">
        <v>9.8854945207051001E-2</v>
      </c>
      <c r="V61">
        <v>0.30876542941964213</v>
      </c>
      <c r="W61">
        <v>8.500425022853102E-4</v>
      </c>
      <c r="X61" t="s">
        <v>70</v>
      </c>
      <c r="Y61" t="s">
        <v>77</v>
      </c>
      <c r="Z61" t="s">
        <v>2385</v>
      </c>
      <c r="AA61">
        <v>0</v>
      </c>
      <c r="AB61">
        <v>0</v>
      </c>
      <c r="AC61">
        <v>1</v>
      </c>
      <c r="AD61">
        <v>1</v>
      </c>
    </row>
    <row r="62" spans="1:30" x14ac:dyDescent="0.25">
      <c r="A62">
        <v>7</v>
      </c>
      <c r="B62">
        <f>LOOKUP(A62,'cluster stats'!$B$21:$B$35,'cluster stats'!$A$21:$A$35)</f>
        <v>47</v>
      </c>
      <c r="C62" t="str">
        <f>VLOOKUP(A62,'cluster stats'!$A$2:$B$16,2,FALSE)</f>
        <v>reef invertivores</v>
      </c>
      <c r="D62" t="s">
        <v>758</v>
      </c>
      <c r="E62" t="s">
        <v>756</v>
      </c>
      <c r="F62" t="s">
        <v>2385</v>
      </c>
      <c r="G62" t="s">
        <v>750</v>
      </c>
      <c r="H62" t="s">
        <v>751</v>
      </c>
      <c r="I62" t="s">
        <v>2426</v>
      </c>
      <c r="J62">
        <v>0.59077236934358102</v>
      </c>
      <c r="K62">
        <v>15.723682396239349</v>
      </c>
      <c r="L62">
        <v>63.232898640555199</v>
      </c>
      <c r="M62">
        <v>2.73</v>
      </c>
      <c r="N62">
        <v>54.83</v>
      </c>
      <c r="O62">
        <v>0.66220500000000004</v>
      </c>
      <c r="P62">
        <v>0</v>
      </c>
      <c r="Q62">
        <v>6.0000002813339294E-3</v>
      </c>
      <c r="R62">
        <v>0</v>
      </c>
      <c r="S62">
        <v>0.98799999943733219</v>
      </c>
      <c r="T62">
        <v>0</v>
      </c>
      <c r="U62">
        <v>0</v>
      </c>
      <c r="V62">
        <v>6.0000002813339294E-3</v>
      </c>
      <c r="W62">
        <v>0</v>
      </c>
      <c r="X62" t="s">
        <v>70</v>
      </c>
      <c r="Y62" t="s">
        <v>77</v>
      </c>
      <c r="Z62" t="s">
        <v>2385</v>
      </c>
      <c r="AA62">
        <v>1</v>
      </c>
      <c r="AB62">
        <v>0</v>
      </c>
      <c r="AC62">
        <v>1</v>
      </c>
      <c r="AD62">
        <v>0</v>
      </c>
    </row>
    <row r="63" spans="1:30" x14ac:dyDescent="0.25">
      <c r="A63">
        <v>7</v>
      </c>
      <c r="B63">
        <f>LOOKUP(A63,'cluster stats'!$B$21:$B$35,'cluster stats'!$A$21:$A$35)</f>
        <v>47</v>
      </c>
      <c r="C63" t="str">
        <f>VLOOKUP(A63,'cluster stats'!$A$2:$B$16,2,FALSE)</f>
        <v>reef invertivores</v>
      </c>
      <c r="D63" t="s">
        <v>425</v>
      </c>
      <c r="E63" t="s">
        <v>422</v>
      </c>
      <c r="F63" t="s">
        <v>2385</v>
      </c>
      <c r="G63" t="s">
        <v>420</v>
      </c>
      <c r="H63" t="s">
        <v>424</v>
      </c>
      <c r="I63" t="s">
        <v>2427</v>
      </c>
      <c r="J63">
        <v>0.52666570768481802</v>
      </c>
      <c r="K63">
        <v>4.89030035957121</v>
      </c>
      <c r="L63">
        <v>62.2126420679948</v>
      </c>
      <c r="M63">
        <v>3.6766666666666699</v>
      </c>
      <c r="N63">
        <v>48.63</v>
      </c>
      <c r="O63">
        <v>1.60207066666667</v>
      </c>
      <c r="P63">
        <v>2.499999997019769E-3</v>
      </c>
      <c r="Q63">
        <v>0.37789999916803824</v>
      </c>
      <c r="R63">
        <v>0</v>
      </c>
      <c r="S63">
        <v>1.5299999695658687E-2</v>
      </c>
      <c r="T63">
        <v>0</v>
      </c>
      <c r="U63">
        <v>0</v>
      </c>
      <c r="V63">
        <v>0.58260000040221227</v>
      </c>
      <c r="W63">
        <v>2.1700000737071096E-2</v>
      </c>
      <c r="X63" t="s">
        <v>70</v>
      </c>
      <c r="Y63" t="s">
        <v>77</v>
      </c>
      <c r="Z63" t="s">
        <v>2385</v>
      </c>
      <c r="AA63">
        <v>0</v>
      </c>
      <c r="AB63">
        <v>0</v>
      </c>
      <c r="AC63">
        <v>0</v>
      </c>
      <c r="AD63">
        <v>1</v>
      </c>
    </row>
    <row r="64" spans="1:30" x14ac:dyDescent="0.25">
      <c r="A64">
        <v>7</v>
      </c>
      <c r="B64">
        <f>LOOKUP(A64,'cluster stats'!$B$21:$B$35,'cluster stats'!$A$21:$A$35)</f>
        <v>47</v>
      </c>
      <c r="C64" t="str">
        <f>VLOOKUP(A64,'cluster stats'!$A$2:$B$16,2,FALSE)</f>
        <v>reef invertivores</v>
      </c>
      <c r="D64" t="s">
        <v>715</v>
      </c>
      <c r="E64" t="s">
        <v>713</v>
      </c>
      <c r="F64" t="s">
        <v>2385</v>
      </c>
      <c r="G64" t="s">
        <v>428</v>
      </c>
      <c r="H64" t="s">
        <v>497</v>
      </c>
      <c r="I64" t="s">
        <v>2428</v>
      </c>
      <c r="J64">
        <v>0.543280407512574</v>
      </c>
      <c r="K64">
        <v>5.6420448492513255</v>
      </c>
      <c r="L64">
        <v>78.507049575633005</v>
      </c>
      <c r="M64">
        <v>3.33</v>
      </c>
      <c r="N64">
        <v>55.84</v>
      </c>
      <c r="O64">
        <v>2.7323300000000001</v>
      </c>
      <c r="P64">
        <v>0</v>
      </c>
      <c r="Q64">
        <v>0.23300000467359994</v>
      </c>
      <c r="R64">
        <v>3.000000078082083E-3</v>
      </c>
      <c r="S64">
        <v>0</v>
      </c>
      <c r="T64">
        <v>0</v>
      </c>
      <c r="U64">
        <v>0</v>
      </c>
      <c r="V64">
        <v>0.76399999524831808</v>
      </c>
      <c r="W64">
        <v>0</v>
      </c>
      <c r="X64" t="s">
        <v>70</v>
      </c>
      <c r="Y64" t="s">
        <v>77</v>
      </c>
      <c r="Z64" t="s">
        <v>2385</v>
      </c>
      <c r="AA64">
        <v>0</v>
      </c>
      <c r="AB64">
        <v>0</v>
      </c>
      <c r="AC64">
        <v>0</v>
      </c>
      <c r="AD64">
        <v>0</v>
      </c>
    </row>
    <row r="65" spans="1:30" x14ac:dyDescent="0.25">
      <c r="A65">
        <v>7</v>
      </c>
      <c r="B65">
        <f>LOOKUP(A65,'cluster stats'!$B$21:$B$35,'cluster stats'!$A$21:$A$35)</f>
        <v>47</v>
      </c>
      <c r="C65" t="str">
        <f>VLOOKUP(A65,'cluster stats'!$A$2:$B$16,2,FALSE)</f>
        <v>reef invertivores</v>
      </c>
      <c r="D65" t="s">
        <v>501</v>
      </c>
      <c r="E65" t="s">
        <v>499</v>
      </c>
      <c r="F65" t="s">
        <v>2385</v>
      </c>
      <c r="G65" t="s">
        <v>428</v>
      </c>
      <c r="H65" t="s">
        <v>497</v>
      </c>
      <c r="I65" t="s">
        <v>2429</v>
      </c>
      <c r="J65">
        <v>0.37355379999999999</v>
      </c>
      <c r="K65">
        <v>9.3471094442361498</v>
      </c>
      <c r="L65">
        <v>51.2</v>
      </c>
      <c r="M65">
        <v>3.61</v>
      </c>
      <c r="N65">
        <v>49.65</v>
      </c>
      <c r="O65">
        <v>3.70011</v>
      </c>
      <c r="P65">
        <v>0.14099823479231474</v>
      </c>
      <c r="Q65">
        <v>0.28584642809161048</v>
      </c>
      <c r="R65">
        <v>6.149923195855867E-3</v>
      </c>
      <c r="S65">
        <v>0</v>
      </c>
      <c r="T65">
        <v>0</v>
      </c>
      <c r="U65">
        <v>1.0999862694575931E-2</v>
      </c>
      <c r="V65">
        <v>0.55600555122564299</v>
      </c>
      <c r="W65">
        <v>0</v>
      </c>
      <c r="X65" t="s">
        <v>70</v>
      </c>
      <c r="Y65" t="s">
        <v>77</v>
      </c>
      <c r="Z65" t="s">
        <v>2385</v>
      </c>
      <c r="AA65">
        <v>1</v>
      </c>
      <c r="AB65">
        <v>1</v>
      </c>
      <c r="AC65">
        <v>0</v>
      </c>
      <c r="AD65">
        <v>1</v>
      </c>
    </row>
    <row r="66" spans="1:30" x14ac:dyDescent="0.25">
      <c r="A66">
        <v>7</v>
      </c>
      <c r="B66">
        <f>LOOKUP(A66,'cluster stats'!$B$21:$B$35,'cluster stats'!$A$21:$A$35)</f>
        <v>47</v>
      </c>
      <c r="C66" t="str">
        <f>VLOOKUP(A66,'cluster stats'!$A$2:$B$16,2,FALSE)</f>
        <v>reef invertivores</v>
      </c>
      <c r="D66" t="s">
        <v>504</v>
      </c>
      <c r="E66" t="s">
        <v>502</v>
      </c>
      <c r="F66" t="s">
        <v>2385</v>
      </c>
      <c r="G66" t="s">
        <v>428</v>
      </c>
      <c r="H66" t="s">
        <v>497</v>
      </c>
      <c r="I66" t="s">
        <v>2430</v>
      </c>
      <c r="J66">
        <v>0.83653824829414003</v>
      </c>
      <c r="K66">
        <v>8.6685873691921245</v>
      </c>
      <c r="L66">
        <v>47.898287028903603</v>
      </c>
      <c r="M66">
        <v>3.5</v>
      </c>
      <c r="N66">
        <v>37.840000000000003</v>
      </c>
      <c r="O66">
        <v>2.7568100000000002</v>
      </c>
      <c r="P66">
        <v>0.14099823479231474</v>
      </c>
      <c r="Q66">
        <v>0.28584642809161048</v>
      </c>
      <c r="R66">
        <v>6.149923195855867E-3</v>
      </c>
      <c r="S66">
        <v>0</v>
      </c>
      <c r="T66">
        <v>0</v>
      </c>
      <c r="U66">
        <v>1.0999862694575931E-2</v>
      </c>
      <c r="V66">
        <v>0.55600555122564299</v>
      </c>
      <c r="W66">
        <v>0</v>
      </c>
      <c r="X66" t="s">
        <v>70</v>
      </c>
      <c r="Y66" t="s">
        <v>77</v>
      </c>
      <c r="Z66" t="s">
        <v>2385</v>
      </c>
      <c r="AA66">
        <v>0</v>
      </c>
      <c r="AB66">
        <v>0</v>
      </c>
      <c r="AC66">
        <v>0</v>
      </c>
      <c r="AD66">
        <v>1</v>
      </c>
    </row>
    <row r="67" spans="1:30" x14ac:dyDescent="0.25">
      <c r="A67">
        <v>7</v>
      </c>
      <c r="B67">
        <f>LOOKUP(A67,'cluster stats'!$B$21:$B$35,'cluster stats'!$A$21:$A$35)</f>
        <v>47</v>
      </c>
      <c r="C67" t="str">
        <f>VLOOKUP(A67,'cluster stats'!$A$2:$B$16,2,FALSE)</f>
        <v>reef invertivores</v>
      </c>
      <c r="D67" t="s">
        <v>725</v>
      </c>
      <c r="E67" t="s">
        <v>721</v>
      </c>
      <c r="F67" t="s">
        <v>2385</v>
      </c>
      <c r="G67" t="s">
        <v>723</v>
      </c>
      <c r="H67" t="s">
        <v>724</v>
      </c>
      <c r="I67" t="s">
        <v>2431</v>
      </c>
      <c r="J67">
        <v>1.6563711725336501</v>
      </c>
      <c r="K67">
        <v>17.104700694465052</v>
      </c>
      <c r="L67">
        <v>12.7650424750294</v>
      </c>
      <c r="M67">
        <v>3.0133333333333301</v>
      </c>
      <c r="N67">
        <v>11.03</v>
      </c>
      <c r="O67">
        <v>1.8912500000000001</v>
      </c>
      <c r="P67">
        <v>0</v>
      </c>
      <c r="Q67">
        <v>0.2101605123298233</v>
      </c>
      <c r="R67">
        <v>4.100204885354377E-2</v>
      </c>
      <c r="S67">
        <v>0.19115956027326489</v>
      </c>
      <c r="T67">
        <v>0</v>
      </c>
      <c r="U67">
        <v>1.4700735217014323E-2</v>
      </c>
      <c r="V67">
        <v>0.51847591796466319</v>
      </c>
      <c r="W67">
        <v>2.4501225361690571E-2</v>
      </c>
      <c r="X67" t="s">
        <v>70</v>
      </c>
      <c r="Y67" t="s">
        <v>77</v>
      </c>
      <c r="Z67" t="s">
        <v>2385</v>
      </c>
      <c r="AA67">
        <v>0</v>
      </c>
      <c r="AB67">
        <v>0</v>
      </c>
      <c r="AC67">
        <v>1</v>
      </c>
      <c r="AD67">
        <v>1</v>
      </c>
    </row>
    <row r="68" spans="1:30" x14ac:dyDescent="0.25">
      <c r="A68">
        <v>7</v>
      </c>
      <c r="B68">
        <f>LOOKUP(A68,'cluster stats'!$B$21:$B$35,'cluster stats'!$A$21:$A$35)</f>
        <v>47</v>
      </c>
      <c r="C68" t="str">
        <f>VLOOKUP(A68,'cluster stats'!$A$2:$B$16,2,FALSE)</f>
        <v>reef invertivores</v>
      </c>
      <c r="D68" t="s">
        <v>588</v>
      </c>
      <c r="E68" t="s">
        <v>583</v>
      </c>
      <c r="F68" t="s">
        <v>2385</v>
      </c>
      <c r="G68" t="s">
        <v>586</v>
      </c>
      <c r="H68" t="s">
        <v>587</v>
      </c>
      <c r="I68" t="s">
        <v>2432</v>
      </c>
      <c r="J68">
        <v>1.1981004043474499</v>
      </c>
      <c r="K68">
        <v>11.6476525904621</v>
      </c>
      <c r="L68">
        <v>21.1029718069605</v>
      </c>
      <c r="M68">
        <v>3.4433333333333298</v>
      </c>
      <c r="N68">
        <v>15.01</v>
      </c>
      <c r="O68">
        <v>2.5594299999999999</v>
      </c>
      <c r="P68">
        <v>0</v>
      </c>
      <c r="Q68">
        <v>2.1102109159861739E-2</v>
      </c>
      <c r="R68">
        <v>0</v>
      </c>
      <c r="S68">
        <v>5.3705369387407824E-2</v>
      </c>
      <c r="T68">
        <v>0</v>
      </c>
      <c r="U68">
        <v>0.5279528043853623</v>
      </c>
      <c r="V68">
        <v>0.39723971706736816</v>
      </c>
      <c r="W68">
        <v>0</v>
      </c>
      <c r="X68" t="s">
        <v>70</v>
      </c>
      <c r="Y68" t="s">
        <v>77</v>
      </c>
      <c r="Z68" t="s">
        <v>2385</v>
      </c>
      <c r="AA68">
        <v>0</v>
      </c>
      <c r="AB68">
        <v>0</v>
      </c>
      <c r="AC68">
        <v>0</v>
      </c>
      <c r="AD68">
        <v>1</v>
      </c>
    </row>
    <row r="69" spans="1:30" x14ac:dyDescent="0.25">
      <c r="A69">
        <v>7</v>
      </c>
      <c r="B69">
        <f>LOOKUP(A69,'cluster stats'!$B$21:$B$35,'cluster stats'!$A$21:$A$35)</f>
        <v>47</v>
      </c>
      <c r="C69" t="str">
        <f>VLOOKUP(A69,'cluster stats'!$A$2:$B$16,2,FALSE)</f>
        <v>reef invertivores</v>
      </c>
      <c r="D69" t="s">
        <v>591</v>
      </c>
      <c r="E69" t="s">
        <v>589</v>
      </c>
      <c r="F69" t="s">
        <v>2385</v>
      </c>
      <c r="G69" t="s">
        <v>586</v>
      </c>
      <c r="H69" t="s">
        <v>587</v>
      </c>
      <c r="I69" t="s">
        <v>2433</v>
      </c>
      <c r="J69">
        <v>1.43784252539665</v>
      </c>
      <c r="K69">
        <v>18.832562741145402</v>
      </c>
      <c r="L69">
        <v>15.8997907219241</v>
      </c>
      <c r="M69">
        <v>3.39333333333333</v>
      </c>
      <c r="N69">
        <v>11.53</v>
      </c>
      <c r="O69">
        <v>2.11002</v>
      </c>
      <c r="P69">
        <v>0</v>
      </c>
      <c r="Q69">
        <v>0.28300000190734897</v>
      </c>
      <c r="R69">
        <v>0.43299999237060499</v>
      </c>
      <c r="S69">
        <v>0</v>
      </c>
      <c r="T69">
        <v>0</v>
      </c>
      <c r="U69">
        <v>0.11699999809265099</v>
      </c>
      <c r="V69">
        <v>0.16700000762939499</v>
      </c>
      <c r="W69">
        <v>0</v>
      </c>
      <c r="X69" t="s">
        <v>70</v>
      </c>
      <c r="Y69" t="s">
        <v>77</v>
      </c>
      <c r="Z69" t="s">
        <v>2385</v>
      </c>
      <c r="AA69">
        <v>0</v>
      </c>
      <c r="AB69">
        <v>0</v>
      </c>
      <c r="AC69">
        <v>0</v>
      </c>
      <c r="AD69">
        <v>0</v>
      </c>
    </row>
    <row r="70" spans="1:30" x14ac:dyDescent="0.25">
      <c r="A70">
        <v>7</v>
      </c>
      <c r="B70">
        <f>LOOKUP(A70,'cluster stats'!$B$21:$B$35,'cluster stats'!$A$21:$A$35)</f>
        <v>47</v>
      </c>
      <c r="C70" t="str">
        <f>VLOOKUP(A70,'cluster stats'!$A$2:$B$16,2,FALSE)</f>
        <v>reef invertivores</v>
      </c>
      <c r="D70" t="s">
        <v>611</v>
      </c>
      <c r="E70" t="s">
        <v>607</v>
      </c>
      <c r="F70" t="s">
        <v>2385</v>
      </c>
      <c r="G70" t="s">
        <v>609</v>
      </c>
      <c r="H70" t="s">
        <v>610</v>
      </c>
      <c r="I70" t="s">
        <v>2426</v>
      </c>
      <c r="J70">
        <v>0.970119254706306</v>
      </c>
      <c r="K70">
        <v>6.1196180279778094</v>
      </c>
      <c r="L70">
        <v>29.2832379460087</v>
      </c>
      <c r="M70">
        <v>3.34</v>
      </c>
      <c r="N70">
        <v>14.84</v>
      </c>
      <c r="O70">
        <v>1.12931</v>
      </c>
      <c r="P70">
        <v>0</v>
      </c>
      <c r="Q70">
        <v>0.4769999848953636</v>
      </c>
      <c r="R70">
        <v>0</v>
      </c>
      <c r="S70">
        <v>1.0000000072270625E-3</v>
      </c>
      <c r="T70">
        <v>0</v>
      </c>
      <c r="U70">
        <v>0</v>
      </c>
      <c r="V70">
        <v>0.52200001509740934</v>
      </c>
      <c r="W70">
        <v>0</v>
      </c>
      <c r="X70" t="s">
        <v>70</v>
      </c>
      <c r="Y70" t="s">
        <v>77</v>
      </c>
      <c r="Z70" t="s">
        <v>2385</v>
      </c>
      <c r="AA70">
        <v>0</v>
      </c>
      <c r="AB70">
        <v>0</v>
      </c>
      <c r="AC70">
        <v>1</v>
      </c>
      <c r="AD70">
        <v>1</v>
      </c>
    </row>
    <row r="71" spans="1:30" x14ac:dyDescent="0.25">
      <c r="A71">
        <v>7</v>
      </c>
      <c r="B71">
        <f>LOOKUP(A71,'cluster stats'!$B$21:$B$35,'cluster stats'!$A$21:$A$35)</f>
        <v>47</v>
      </c>
      <c r="C71" t="str">
        <f>VLOOKUP(A71,'cluster stats'!$A$2:$B$16,2,FALSE)</f>
        <v>reef invertivores</v>
      </c>
      <c r="D71" t="s">
        <v>561</v>
      </c>
      <c r="E71" t="s">
        <v>557</v>
      </c>
      <c r="F71" t="s">
        <v>2385</v>
      </c>
      <c r="G71" t="s">
        <v>559</v>
      </c>
      <c r="H71" t="s">
        <v>560</v>
      </c>
      <c r="I71" t="s">
        <v>2434</v>
      </c>
      <c r="J71">
        <v>1.0400324152168099</v>
      </c>
      <c r="K71">
        <v>7.7408319495159548</v>
      </c>
      <c r="L71">
        <v>26.285289375079898</v>
      </c>
      <c r="M71">
        <v>3.4266666666666699</v>
      </c>
      <c r="N71">
        <v>21.73</v>
      </c>
      <c r="O71">
        <v>1.1987000000000001</v>
      </c>
      <c r="P71">
        <v>0</v>
      </c>
      <c r="Q71">
        <v>0.67683384368665567</v>
      </c>
      <c r="R71">
        <v>0</v>
      </c>
      <c r="S71">
        <v>0</v>
      </c>
      <c r="T71">
        <v>0</v>
      </c>
      <c r="U71">
        <v>0</v>
      </c>
      <c r="V71">
        <v>0.32316615631334433</v>
      </c>
      <c r="W71">
        <v>0</v>
      </c>
      <c r="X71" t="s">
        <v>70</v>
      </c>
      <c r="Y71" t="s">
        <v>77</v>
      </c>
      <c r="Z71" t="s">
        <v>2385</v>
      </c>
      <c r="AA71">
        <v>0</v>
      </c>
      <c r="AB71">
        <v>0</v>
      </c>
      <c r="AC71">
        <v>0</v>
      </c>
      <c r="AD71">
        <v>0</v>
      </c>
    </row>
    <row r="72" spans="1:30" x14ac:dyDescent="0.25">
      <c r="A72">
        <v>7</v>
      </c>
      <c r="B72">
        <f>LOOKUP(A72,'cluster stats'!$B$21:$B$35,'cluster stats'!$A$21:$A$35)</f>
        <v>47</v>
      </c>
      <c r="C72" t="str">
        <f>VLOOKUP(A72,'cluster stats'!$A$2:$B$16,2,FALSE)</f>
        <v>reef invertivores</v>
      </c>
      <c r="D72" t="s">
        <v>623</v>
      </c>
      <c r="E72" t="s">
        <v>620</v>
      </c>
      <c r="F72" t="s">
        <v>2385</v>
      </c>
      <c r="G72" t="s">
        <v>449</v>
      </c>
      <c r="H72" t="s">
        <v>622</v>
      </c>
      <c r="I72" t="s">
        <v>2435</v>
      </c>
      <c r="J72">
        <v>0.46650233333333202</v>
      </c>
      <c r="K72">
        <v>13.522608831933599</v>
      </c>
      <c r="L72">
        <v>28.266666666666701</v>
      </c>
      <c r="M72">
        <v>3.56</v>
      </c>
      <c r="N72">
        <v>37.49</v>
      </c>
      <c r="O72">
        <v>2.1025499999999999</v>
      </c>
      <c r="P72">
        <v>6.6673335268740324E-3</v>
      </c>
      <c r="Q72">
        <v>0.30309697414387282</v>
      </c>
      <c r="R72">
        <v>0.29359603262338491</v>
      </c>
      <c r="S72">
        <v>0</v>
      </c>
      <c r="T72">
        <v>0</v>
      </c>
      <c r="U72">
        <v>0</v>
      </c>
      <c r="V72">
        <v>0.22885621982024668</v>
      </c>
      <c r="W72">
        <v>0.1677834398856215</v>
      </c>
      <c r="X72" t="s">
        <v>70</v>
      </c>
      <c r="Y72" t="s">
        <v>77</v>
      </c>
      <c r="Z72" t="s">
        <v>2385</v>
      </c>
      <c r="AA72">
        <v>1</v>
      </c>
      <c r="AB72">
        <v>1</v>
      </c>
      <c r="AC72">
        <v>1</v>
      </c>
      <c r="AD72">
        <v>1</v>
      </c>
    </row>
    <row r="73" spans="1:30" x14ac:dyDescent="0.25">
      <c r="A73">
        <v>7</v>
      </c>
      <c r="B73">
        <f>LOOKUP(A73,'cluster stats'!$B$21:$B$35,'cluster stats'!$A$21:$A$35)</f>
        <v>47</v>
      </c>
      <c r="C73" t="str">
        <f>VLOOKUP(A73,'cluster stats'!$A$2:$B$16,2,FALSE)</f>
        <v>reef invertivores</v>
      </c>
      <c r="D73" t="s">
        <v>626</v>
      </c>
      <c r="E73" t="s">
        <v>624</v>
      </c>
      <c r="F73" t="s">
        <v>2385</v>
      </c>
      <c r="G73" t="s">
        <v>449</v>
      </c>
      <c r="H73" t="s">
        <v>622</v>
      </c>
      <c r="I73" t="s">
        <v>2436</v>
      </c>
      <c r="J73">
        <v>0.42425299999999999</v>
      </c>
      <c r="K73">
        <v>10.23911196940975</v>
      </c>
      <c r="L73">
        <v>36</v>
      </c>
      <c r="M73">
        <v>3.70333333333333</v>
      </c>
      <c r="N73">
        <v>61.75</v>
      </c>
      <c r="O73">
        <v>2.99803</v>
      </c>
      <c r="P73">
        <v>4.1247938741804907E-2</v>
      </c>
      <c r="Q73">
        <v>0.37568121970291229</v>
      </c>
      <c r="R73">
        <v>3.3098344467761956E-2</v>
      </c>
      <c r="S73">
        <v>0</v>
      </c>
      <c r="T73">
        <v>0</v>
      </c>
      <c r="U73">
        <v>0</v>
      </c>
      <c r="V73">
        <v>0.54997249708752083</v>
      </c>
      <c r="W73">
        <v>0</v>
      </c>
      <c r="X73" t="s">
        <v>70</v>
      </c>
      <c r="Y73" t="s">
        <v>77</v>
      </c>
      <c r="Z73" t="s">
        <v>2385</v>
      </c>
      <c r="AA73">
        <v>1</v>
      </c>
      <c r="AB73">
        <v>0</v>
      </c>
      <c r="AC73">
        <v>1</v>
      </c>
      <c r="AD73">
        <v>1</v>
      </c>
    </row>
    <row r="74" spans="1:30" x14ac:dyDescent="0.25">
      <c r="A74">
        <v>7</v>
      </c>
      <c r="B74">
        <f>LOOKUP(A74,'cluster stats'!$B$21:$B$35,'cluster stats'!$A$21:$A$35)</f>
        <v>47</v>
      </c>
      <c r="C74" t="str">
        <f>VLOOKUP(A74,'cluster stats'!$A$2:$B$16,2,FALSE)</f>
        <v>reef invertivores</v>
      </c>
      <c r="D74" t="s">
        <v>652</v>
      </c>
      <c r="E74" t="s">
        <v>649</v>
      </c>
      <c r="F74" t="s">
        <v>2385</v>
      </c>
      <c r="G74" t="s">
        <v>437</v>
      </c>
      <c r="H74" t="s">
        <v>651</v>
      </c>
      <c r="I74" t="s">
        <v>2437</v>
      </c>
      <c r="J74">
        <v>1.0964968978476799</v>
      </c>
      <c r="K74">
        <v>8.5899535135391147</v>
      </c>
      <c r="L74">
        <v>24.2145478165186</v>
      </c>
      <c r="M74">
        <v>3.4902380952380998</v>
      </c>
      <c r="N74">
        <v>30.69</v>
      </c>
      <c r="O74">
        <v>1.46515</v>
      </c>
      <c r="P74">
        <v>2.0220201902443717E-2</v>
      </c>
      <c r="Q74">
        <v>0.31311312909635114</v>
      </c>
      <c r="R74">
        <v>0</v>
      </c>
      <c r="S74">
        <v>0</v>
      </c>
      <c r="T74">
        <v>0</v>
      </c>
      <c r="U74">
        <v>0</v>
      </c>
      <c r="V74">
        <v>0.6299063018520773</v>
      </c>
      <c r="W74">
        <v>3.6760367149127782E-2</v>
      </c>
      <c r="X74" t="s">
        <v>70</v>
      </c>
      <c r="Y74" t="s">
        <v>77</v>
      </c>
      <c r="Z74" t="s">
        <v>2385</v>
      </c>
      <c r="AA74">
        <v>0</v>
      </c>
      <c r="AB74">
        <v>1</v>
      </c>
      <c r="AC74">
        <v>1</v>
      </c>
      <c r="AD74">
        <v>1</v>
      </c>
    </row>
    <row r="75" spans="1:30" x14ac:dyDescent="0.25">
      <c r="A75">
        <v>7</v>
      </c>
      <c r="B75">
        <f>LOOKUP(A75,'cluster stats'!$B$21:$B$35,'cluster stats'!$A$21:$A$35)</f>
        <v>47</v>
      </c>
      <c r="C75" t="str">
        <f>VLOOKUP(A75,'cluster stats'!$A$2:$B$16,2,FALSE)</f>
        <v>reef invertivores</v>
      </c>
      <c r="D75" t="s">
        <v>655</v>
      </c>
      <c r="E75" t="s">
        <v>653</v>
      </c>
      <c r="F75" t="s">
        <v>2385</v>
      </c>
      <c r="G75" t="s">
        <v>437</v>
      </c>
      <c r="H75" t="s">
        <v>651</v>
      </c>
      <c r="I75" t="s">
        <v>2438</v>
      </c>
      <c r="J75">
        <v>0.84022107703738802</v>
      </c>
      <c r="K75">
        <v>6.4146283824965149</v>
      </c>
      <c r="L75">
        <v>36.603057362149499</v>
      </c>
      <c r="M75">
        <v>3.5333333333333301</v>
      </c>
      <c r="N75">
        <v>36.26</v>
      </c>
      <c r="O75">
        <v>1.0997399999999999</v>
      </c>
      <c r="P75">
        <v>1.6702504894414102E-2</v>
      </c>
      <c r="Q75">
        <v>0.19957993470985275</v>
      </c>
      <c r="R75">
        <v>0</v>
      </c>
      <c r="S75">
        <v>0</v>
      </c>
      <c r="T75">
        <v>0</v>
      </c>
      <c r="U75">
        <v>0</v>
      </c>
      <c r="V75">
        <v>0.7044056655758375</v>
      </c>
      <c r="W75">
        <v>7.9311894819895645E-2</v>
      </c>
      <c r="X75" t="s">
        <v>70</v>
      </c>
      <c r="Y75" t="s">
        <v>77</v>
      </c>
      <c r="Z75" t="s">
        <v>2385</v>
      </c>
      <c r="AA75">
        <v>0</v>
      </c>
      <c r="AB75">
        <v>1</v>
      </c>
      <c r="AC75">
        <v>1</v>
      </c>
      <c r="AD75">
        <v>1</v>
      </c>
    </row>
    <row r="76" spans="1:30" x14ac:dyDescent="0.25">
      <c r="A76">
        <v>7</v>
      </c>
      <c r="B76">
        <f>LOOKUP(A76,'cluster stats'!$B$21:$B$35,'cluster stats'!$A$21:$A$35)</f>
        <v>47</v>
      </c>
      <c r="C76" t="str">
        <f>VLOOKUP(A76,'cluster stats'!$A$2:$B$16,2,FALSE)</f>
        <v>reef invertivores</v>
      </c>
      <c r="D76" t="s">
        <v>680</v>
      </c>
      <c r="E76" t="s">
        <v>676</v>
      </c>
      <c r="F76" t="s">
        <v>2385</v>
      </c>
      <c r="G76" t="s">
        <v>678</v>
      </c>
      <c r="H76" t="s">
        <v>679</v>
      </c>
      <c r="I76" t="s">
        <v>2439</v>
      </c>
      <c r="J76">
        <v>0.716456630664146</v>
      </c>
      <c r="K76">
        <v>5.3418479255278797</v>
      </c>
      <c r="L76">
        <v>46.873397651643799</v>
      </c>
      <c r="M76">
        <v>3.1150000000000002</v>
      </c>
      <c r="N76">
        <v>43.84</v>
      </c>
      <c r="O76">
        <v>1.1906600000000001</v>
      </c>
      <c r="P76">
        <v>0</v>
      </c>
      <c r="Q76">
        <v>0</v>
      </c>
      <c r="R76">
        <v>0</v>
      </c>
      <c r="S76">
        <v>2.4307293645566483E-2</v>
      </c>
      <c r="T76">
        <v>0</v>
      </c>
      <c r="U76">
        <v>9.1027313774801628E-3</v>
      </c>
      <c r="V76">
        <v>0.96658997497695331</v>
      </c>
      <c r="W76">
        <v>0</v>
      </c>
      <c r="X76" t="s">
        <v>70</v>
      </c>
      <c r="Y76" t="s">
        <v>77</v>
      </c>
      <c r="Z76" t="s">
        <v>2385</v>
      </c>
      <c r="AA76">
        <v>0</v>
      </c>
      <c r="AB76">
        <v>1</v>
      </c>
      <c r="AC76">
        <v>0</v>
      </c>
      <c r="AD76">
        <v>1</v>
      </c>
    </row>
    <row r="77" spans="1:30" x14ac:dyDescent="0.25">
      <c r="A77">
        <v>7</v>
      </c>
      <c r="B77">
        <f>LOOKUP(A77,'cluster stats'!$B$21:$B$35,'cluster stats'!$A$21:$A$35)</f>
        <v>47</v>
      </c>
      <c r="C77" t="str">
        <f>VLOOKUP(A77,'cluster stats'!$A$2:$B$16,2,FALSE)</f>
        <v>reef invertivores</v>
      </c>
      <c r="D77" t="s">
        <v>439</v>
      </c>
      <c r="E77" t="s">
        <v>435</v>
      </c>
      <c r="F77" t="s">
        <v>2385</v>
      </c>
      <c r="G77" t="s">
        <v>437</v>
      </c>
      <c r="H77" t="s">
        <v>438</v>
      </c>
      <c r="I77" t="s">
        <v>2440</v>
      </c>
      <c r="J77">
        <v>0.399900661250497</v>
      </c>
      <c r="K77">
        <v>6.6493852342425104</v>
      </c>
      <c r="L77">
        <v>93.733025249860802</v>
      </c>
      <c r="M77">
        <v>3.98</v>
      </c>
      <c r="N77">
        <v>67.099999999999994</v>
      </c>
      <c r="O77">
        <v>3.9567000000000001</v>
      </c>
      <c r="P77">
        <v>0</v>
      </c>
      <c r="Q77">
        <v>0.27437500468119969</v>
      </c>
      <c r="R77">
        <v>9.9250001552402989E-2</v>
      </c>
      <c r="S77">
        <v>0</v>
      </c>
      <c r="T77">
        <v>0</v>
      </c>
      <c r="U77">
        <v>0</v>
      </c>
      <c r="V77">
        <v>0.62387499377533795</v>
      </c>
      <c r="W77">
        <v>2.4999999910593046E-3</v>
      </c>
      <c r="X77" t="s">
        <v>70</v>
      </c>
      <c r="Y77" t="s">
        <v>77</v>
      </c>
      <c r="Z77" t="s">
        <v>2385</v>
      </c>
      <c r="AA77">
        <v>0</v>
      </c>
      <c r="AB77">
        <v>1</v>
      </c>
      <c r="AC77">
        <v>0</v>
      </c>
      <c r="AD77">
        <v>1</v>
      </c>
    </row>
    <row r="78" spans="1:30" x14ac:dyDescent="0.25">
      <c r="A78">
        <v>7</v>
      </c>
      <c r="B78">
        <f>LOOKUP(A78,'cluster stats'!$B$21:$B$35,'cluster stats'!$A$21:$A$35)</f>
        <v>47</v>
      </c>
      <c r="C78" t="str">
        <f>VLOOKUP(A78,'cluster stats'!$A$2:$B$16,2,FALSE)</f>
        <v>reef invertivores</v>
      </c>
      <c r="D78" t="s">
        <v>1070</v>
      </c>
      <c r="E78" t="s">
        <v>1067</v>
      </c>
      <c r="F78" t="s">
        <v>2385</v>
      </c>
      <c r="G78" t="s">
        <v>1061</v>
      </c>
      <c r="H78" t="s">
        <v>1069</v>
      </c>
      <c r="I78" t="s">
        <v>2441</v>
      </c>
      <c r="J78">
        <v>0.93441072707734596</v>
      </c>
      <c r="K78">
        <v>10.994493970735501</v>
      </c>
      <c r="L78">
        <v>31.038317608114799</v>
      </c>
      <c r="M78">
        <v>3.3849999999999998</v>
      </c>
      <c r="N78">
        <v>35.82</v>
      </c>
      <c r="O78">
        <v>1.0817319999999999</v>
      </c>
      <c r="P78">
        <v>3.6999999302203518E-2</v>
      </c>
      <c r="Q78">
        <v>0.55666666533988363</v>
      </c>
      <c r="R78">
        <v>7.4166666701663775E-2</v>
      </c>
      <c r="S78">
        <v>0</v>
      </c>
      <c r="T78">
        <v>0</v>
      </c>
      <c r="U78">
        <v>0</v>
      </c>
      <c r="V78">
        <v>0.31016666896375927</v>
      </c>
      <c r="W78">
        <v>2.1999999692489756E-2</v>
      </c>
      <c r="X78" t="s">
        <v>70</v>
      </c>
      <c r="Y78" t="s">
        <v>77</v>
      </c>
      <c r="Z78" t="s">
        <v>2385</v>
      </c>
      <c r="AA78">
        <v>0</v>
      </c>
      <c r="AB78">
        <v>0</v>
      </c>
      <c r="AC78">
        <v>0</v>
      </c>
      <c r="AD78">
        <v>0</v>
      </c>
    </row>
    <row r="79" spans="1:30" x14ac:dyDescent="0.25">
      <c r="A79">
        <v>7</v>
      </c>
      <c r="B79">
        <f>LOOKUP(A79,'cluster stats'!$B$21:$B$35,'cluster stats'!$A$21:$A$35)</f>
        <v>47</v>
      </c>
      <c r="C79" t="str">
        <f>VLOOKUP(A79,'cluster stats'!$A$2:$B$16,2,FALSE)</f>
        <v>reef invertivores</v>
      </c>
      <c r="D79" t="s">
        <v>455</v>
      </c>
      <c r="E79" t="s">
        <v>452</v>
      </c>
      <c r="F79" t="s">
        <v>2385</v>
      </c>
      <c r="G79" t="s">
        <v>399</v>
      </c>
      <c r="H79" t="s">
        <v>454</v>
      </c>
      <c r="I79" t="s">
        <v>2442</v>
      </c>
      <c r="J79">
        <v>0.54140692710905802</v>
      </c>
      <c r="K79">
        <v>5.2387492958881055</v>
      </c>
      <c r="L79">
        <v>72.403736834253607</v>
      </c>
      <c r="M79">
        <v>3.58</v>
      </c>
      <c r="N79">
        <v>63.15</v>
      </c>
      <c r="O79">
        <v>1.2495799999999999</v>
      </c>
      <c r="P79">
        <v>0.12399999722003953</v>
      </c>
      <c r="Q79">
        <v>0.3650000066220761</v>
      </c>
      <c r="R79">
        <v>0</v>
      </c>
      <c r="S79">
        <v>0</v>
      </c>
      <c r="T79">
        <v>0</v>
      </c>
      <c r="U79">
        <v>0</v>
      </c>
      <c r="V79">
        <v>0.51099999615788438</v>
      </c>
      <c r="W79">
        <v>0</v>
      </c>
      <c r="X79" t="s">
        <v>70</v>
      </c>
      <c r="Y79" t="s">
        <v>77</v>
      </c>
      <c r="Z79" t="s">
        <v>2385</v>
      </c>
      <c r="AA79">
        <v>1</v>
      </c>
      <c r="AB79">
        <v>1</v>
      </c>
      <c r="AC79">
        <v>0</v>
      </c>
      <c r="AD79">
        <v>0</v>
      </c>
    </row>
    <row r="80" spans="1:30" x14ac:dyDescent="0.25">
      <c r="A80">
        <v>7</v>
      </c>
      <c r="B80">
        <f>LOOKUP(A80,'cluster stats'!$B$21:$B$35,'cluster stats'!$A$21:$A$35)</f>
        <v>47</v>
      </c>
      <c r="C80" t="str">
        <f>VLOOKUP(A80,'cluster stats'!$A$2:$B$16,2,FALSE)</f>
        <v>reef invertivores</v>
      </c>
      <c r="D80" t="s">
        <v>809</v>
      </c>
      <c r="E80" t="s">
        <v>806</v>
      </c>
      <c r="F80" t="s">
        <v>2385</v>
      </c>
      <c r="G80" t="s">
        <v>750</v>
      </c>
      <c r="H80" t="s">
        <v>808</v>
      </c>
      <c r="I80" t="s">
        <v>2443</v>
      </c>
      <c r="J80">
        <v>1.1981004043474499</v>
      </c>
      <c r="K80">
        <v>15.433012034125252</v>
      </c>
      <c r="L80">
        <v>21.1029718069605</v>
      </c>
      <c r="M80">
        <v>2.8733333619435601</v>
      </c>
      <c r="N80">
        <v>27.34</v>
      </c>
      <c r="O80">
        <v>1.45086</v>
      </c>
      <c r="P80">
        <v>0</v>
      </c>
      <c r="Q80">
        <v>0.17366946345778489</v>
      </c>
      <c r="R80">
        <v>0</v>
      </c>
      <c r="S80">
        <v>0.37444978103581528</v>
      </c>
      <c r="T80">
        <v>0</v>
      </c>
      <c r="U80">
        <v>0</v>
      </c>
      <c r="V80">
        <v>8.1732693419396846E-2</v>
      </c>
      <c r="W80">
        <v>0.3701480620870029</v>
      </c>
      <c r="X80" t="s">
        <v>70</v>
      </c>
      <c r="Y80" t="s">
        <v>77</v>
      </c>
      <c r="Z80" t="s">
        <v>2385</v>
      </c>
      <c r="AA80">
        <v>0</v>
      </c>
      <c r="AB80">
        <v>0</v>
      </c>
      <c r="AC80">
        <v>0</v>
      </c>
      <c r="AD80">
        <v>0</v>
      </c>
    </row>
    <row r="81" spans="1:30" x14ac:dyDescent="0.25">
      <c r="A81">
        <v>7</v>
      </c>
      <c r="B81">
        <f>LOOKUP(A81,'cluster stats'!$B$21:$B$35,'cluster stats'!$A$21:$A$35)</f>
        <v>47</v>
      </c>
      <c r="C81" t="str">
        <f>VLOOKUP(A81,'cluster stats'!$A$2:$B$16,2,FALSE)</f>
        <v>reef invertivores</v>
      </c>
      <c r="D81" t="s">
        <v>1038</v>
      </c>
      <c r="E81" t="s">
        <v>1038</v>
      </c>
      <c r="F81" t="s">
        <v>2385</v>
      </c>
      <c r="G81" t="e">
        <v>#N/A</v>
      </c>
      <c r="H81" t="s">
        <v>1036</v>
      </c>
      <c r="I81" t="s">
        <v>2444</v>
      </c>
      <c r="J81">
        <v>0.79753164567697099</v>
      </c>
      <c r="K81">
        <v>7.6319173745684061</v>
      </c>
      <c r="L81">
        <v>39.688532175186502</v>
      </c>
      <c r="M81">
        <v>3.47</v>
      </c>
      <c r="N81">
        <v>57.68</v>
      </c>
      <c r="O81">
        <v>1.65</v>
      </c>
      <c r="P81">
        <v>8.800000159263606E-2</v>
      </c>
      <c r="Q81">
        <v>0.48099999851822889</v>
      </c>
      <c r="R81">
        <v>0</v>
      </c>
      <c r="S81">
        <v>0.11100000341773003</v>
      </c>
      <c r="T81">
        <v>0</v>
      </c>
      <c r="U81">
        <v>0</v>
      </c>
      <c r="V81">
        <v>0.31999999647140509</v>
      </c>
      <c r="W81">
        <v>0</v>
      </c>
      <c r="X81" t="s">
        <v>70</v>
      </c>
      <c r="Y81" t="s">
        <v>77</v>
      </c>
      <c r="Z81" t="s">
        <v>2385</v>
      </c>
      <c r="AA81">
        <v>1</v>
      </c>
      <c r="AB81">
        <v>0</v>
      </c>
      <c r="AC81">
        <v>0</v>
      </c>
      <c r="AD81">
        <v>0</v>
      </c>
    </row>
    <row r="82" spans="1:30" x14ac:dyDescent="0.25">
      <c r="A82">
        <v>7</v>
      </c>
      <c r="B82">
        <f>LOOKUP(A82,'cluster stats'!$B$21:$B$35,'cluster stats'!$A$21:$A$35)</f>
        <v>47</v>
      </c>
      <c r="C82" t="str">
        <f>VLOOKUP(A82,'cluster stats'!$A$2:$B$16,2,FALSE)</f>
        <v>reef invertivores</v>
      </c>
      <c r="D82" t="s">
        <v>692</v>
      </c>
      <c r="E82" t="s">
        <v>689</v>
      </c>
      <c r="F82" t="s">
        <v>2385</v>
      </c>
      <c r="G82" t="s">
        <v>678</v>
      </c>
      <c r="H82" t="s">
        <v>691</v>
      </c>
      <c r="I82" t="s">
        <v>2445</v>
      </c>
      <c r="J82">
        <v>0.59699651647131902</v>
      </c>
      <c r="K82">
        <v>6.5236631026121552</v>
      </c>
      <c r="L82">
        <v>62.2126420679948</v>
      </c>
      <c r="M82">
        <v>3.06666666666667</v>
      </c>
      <c r="N82">
        <v>51.36</v>
      </c>
      <c r="O82">
        <v>2.0631300000000001</v>
      </c>
      <c r="P82">
        <v>0</v>
      </c>
      <c r="Q82">
        <v>3.3333334207534803E-4</v>
      </c>
      <c r="R82">
        <v>1.6333333438833589E-2</v>
      </c>
      <c r="S82">
        <v>0.18463333085658187</v>
      </c>
      <c r="T82">
        <v>0</v>
      </c>
      <c r="U82">
        <v>2.5166667289435861E-2</v>
      </c>
      <c r="V82">
        <v>0.72653333326923797</v>
      </c>
      <c r="W82">
        <v>4.7000001803835317E-2</v>
      </c>
      <c r="X82" t="s">
        <v>70</v>
      </c>
      <c r="Y82" t="s">
        <v>77</v>
      </c>
      <c r="Z82" t="s">
        <v>2385</v>
      </c>
      <c r="AA82">
        <v>0</v>
      </c>
      <c r="AB82">
        <v>0</v>
      </c>
      <c r="AC82">
        <v>0</v>
      </c>
      <c r="AD82">
        <v>1</v>
      </c>
    </row>
    <row r="83" spans="1:30" x14ac:dyDescent="0.25">
      <c r="A83">
        <v>7</v>
      </c>
      <c r="B83">
        <f>LOOKUP(A83,'cluster stats'!$B$21:$B$35,'cluster stats'!$A$21:$A$35)</f>
        <v>47</v>
      </c>
      <c r="C83" t="str">
        <f>VLOOKUP(A83,'cluster stats'!$A$2:$B$16,2,FALSE)</f>
        <v>reef invertivores</v>
      </c>
      <c r="D83" t="s">
        <v>813</v>
      </c>
      <c r="E83" t="s">
        <v>810</v>
      </c>
      <c r="F83" t="s">
        <v>2385</v>
      </c>
      <c r="G83" t="s">
        <v>750</v>
      </c>
      <c r="H83" t="s">
        <v>812</v>
      </c>
      <c r="I83" t="s">
        <v>2446</v>
      </c>
      <c r="J83">
        <v>0.97904264763312099</v>
      </c>
      <c r="K83">
        <v>13.534045467143249</v>
      </c>
      <c r="L83">
        <v>28.870034575169399</v>
      </c>
      <c r="M83">
        <v>2.5299999999999998</v>
      </c>
      <c r="N83">
        <v>29.59</v>
      </c>
      <c r="O83">
        <v>1.2654300000000001</v>
      </c>
      <c r="P83">
        <v>0</v>
      </c>
      <c r="Q83">
        <v>2.7798610439187171E-2</v>
      </c>
      <c r="R83">
        <v>0.49287535794156795</v>
      </c>
      <c r="S83">
        <v>6.9446531028411487E-2</v>
      </c>
      <c r="T83">
        <v>0</v>
      </c>
      <c r="U83">
        <v>0</v>
      </c>
      <c r="V83">
        <v>0.40987950059083333</v>
      </c>
      <c r="W83">
        <v>0</v>
      </c>
      <c r="X83" t="s">
        <v>70</v>
      </c>
      <c r="Y83" t="s">
        <v>77</v>
      </c>
      <c r="Z83" t="s">
        <v>2385</v>
      </c>
      <c r="AA83">
        <v>1</v>
      </c>
      <c r="AB83">
        <v>0</v>
      </c>
      <c r="AC83">
        <v>1</v>
      </c>
      <c r="AD83">
        <v>0</v>
      </c>
    </row>
    <row r="84" spans="1:30" x14ac:dyDescent="0.25">
      <c r="A84">
        <v>7</v>
      </c>
      <c r="B84">
        <f>LOOKUP(A84,'cluster stats'!$B$21:$B$35,'cluster stats'!$A$21:$A$35)</f>
        <v>47</v>
      </c>
      <c r="C84" t="str">
        <f>VLOOKUP(A84,'cluster stats'!$A$2:$B$16,2,FALSE)</f>
        <v>reef invertivores</v>
      </c>
      <c r="D84" t="s">
        <v>603</v>
      </c>
      <c r="E84" t="s">
        <v>599</v>
      </c>
      <c r="F84" t="s">
        <v>2385</v>
      </c>
      <c r="G84" t="s">
        <v>601</v>
      </c>
      <c r="H84" t="s">
        <v>602</v>
      </c>
      <c r="I84" t="s">
        <v>2447</v>
      </c>
      <c r="J84">
        <v>1.12784118537124</v>
      </c>
      <c r="K84">
        <v>13.162612189957747</v>
      </c>
      <c r="L84">
        <v>23.178117501851599</v>
      </c>
      <c r="M84">
        <v>3.29</v>
      </c>
      <c r="N84">
        <v>26.82</v>
      </c>
      <c r="O84">
        <v>1.65</v>
      </c>
      <c r="P84">
        <v>0</v>
      </c>
      <c r="Q84">
        <v>0.26</v>
      </c>
      <c r="R84">
        <v>0</v>
      </c>
      <c r="S84">
        <v>0.19</v>
      </c>
      <c r="T84">
        <v>0</v>
      </c>
      <c r="U84">
        <v>0</v>
      </c>
      <c r="V84">
        <v>0.51</v>
      </c>
      <c r="W84">
        <v>0.04</v>
      </c>
      <c r="X84" t="s">
        <v>70</v>
      </c>
      <c r="Y84" t="s">
        <v>77</v>
      </c>
      <c r="Z84" t="s">
        <v>2385</v>
      </c>
      <c r="AA84">
        <v>1</v>
      </c>
      <c r="AB84">
        <v>0</v>
      </c>
      <c r="AC84">
        <v>0</v>
      </c>
      <c r="AD84">
        <v>0</v>
      </c>
    </row>
    <row r="85" spans="1:30" x14ac:dyDescent="0.25">
      <c r="A85">
        <v>7</v>
      </c>
      <c r="B85">
        <f>LOOKUP(A85,'cluster stats'!$B$21:$B$35,'cluster stats'!$A$21:$A$35)</f>
        <v>47</v>
      </c>
      <c r="C85" t="str">
        <f>VLOOKUP(A85,'cluster stats'!$A$2:$B$16,2,FALSE)</f>
        <v>reef invertivores</v>
      </c>
      <c r="D85" t="s">
        <v>1153</v>
      </c>
      <c r="E85" t="s">
        <v>1151</v>
      </c>
      <c r="F85" t="s">
        <v>2385</v>
      </c>
      <c r="G85" t="s">
        <v>1139</v>
      </c>
      <c r="H85" t="s">
        <v>1149</v>
      </c>
      <c r="I85" t="s">
        <v>2448</v>
      </c>
      <c r="J85">
        <v>1.0400324152168099</v>
      </c>
      <c r="K85">
        <v>8.5114289680629707</v>
      </c>
      <c r="L85">
        <v>26.285289375079898</v>
      </c>
      <c r="M85">
        <v>4.5350000000000001</v>
      </c>
      <c r="N85">
        <v>18.940000000000001</v>
      </c>
      <c r="O85">
        <v>1.35076</v>
      </c>
      <c r="P85">
        <v>2.5000000774860403E-2</v>
      </c>
      <c r="Q85">
        <v>1.2999999926090194E-2</v>
      </c>
      <c r="R85">
        <v>0</v>
      </c>
      <c r="S85">
        <v>0</v>
      </c>
      <c r="T85">
        <v>0</v>
      </c>
      <c r="U85">
        <v>0</v>
      </c>
      <c r="V85">
        <v>0.96199999929904934</v>
      </c>
      <c r="W85">
        <v>0</v>
      </c>
      <c r="X85" t="s">
        <v>70</v>
      </c>
      <c r="Y85" t="s">
        <v>77</v>
      </c>
      <c r="Z85" t="s">
        <v>2385</v>
      </c>
      <c r="AA85">
        <v>0</v>
      </c>
      <c r="AB85">
        <v>0</v>
      </c>
      <c r="AC85">
        <v>0</v>
      </c>
      <c r="AD85">
        <v>0</v>
      </c>
    </row>
    <row r="86" spans="1:30" x14ac:dyDescent="0.25">
      <c r="A86">
        <v>7</v>
      </c>
      <c r="B86">
        <f>LOOKUP(A86,'cluster stats'!$B$21:$B$35,'cluster stats'!$A$21:$A$35)</f>
        <v>47</v>
      </c>
      <c r="C86" t="str">
        <f>VLOOKUP(A86,'cluster stats'!$A$2:$B$16,2,FALSE)</f>
        <v>reef invertivores</v>
      </c>
      <c r="D86" t="s">
        <v>665</v>
      </c>
      <c r="E86" t="s">
        <v>662</v>
      </c>
      <c r="F86" t="s">
        <v>2385</v>
      </c>
      <c r="G86" t="s">
        <v>437</v>
      </c>
      <c r="H86" t="s">
        <v>664</v>
      </c>
      <c r="I86" t="s">
        <v>2449</v>
      </c>
      <c r="J86">
        <v>0.80830034963655994</v>
      </c>
      <c r="K86">
        <v>7.3079945779443651</v>
      </c>
      <c r="L86">
        <v>39.688532175186502</v>
      </c>
      <c r="M86">
        <v>3.4449999999999998</v>
      </c>
      <c r="N86">
        <v>36.270000000000003</v>
      </c>
      <c r="O86">
        <v>1.3704799999999999</v>
      </c>
      <c r="P86">
        <v>7.5000000257044981E-3</v>
      </c>
      <c r="Q86">
        <v>0.1025000005003068</v>
      </c>
      <c r="R86">
        <v>3.1500001061633191E-2</v>
      </c>
      <c r="S86">
        <v>0</v>
      </c>
      <c r="T86">
        <v>0</v>
      </c>
      <c r="U86">
        <v>0</v>
      </c>
      <c r="V86">
        <v>0.84199999859422425</v>
      </c>
      <c r="W86">
        <v>1.6499999818131297E-2</v>
      </c>
      <c r="X86" t="s">
        <v>70</v>
      </c>
      <c r="Y86" t="s">
        <v>77</v>
      </c>
      <c r="Z86" t="s">
        <v>2385</v>
      </c>
      <c r="AA86">
        <v>1</v>
      </c>
      <c r="AB86">
        <v>0</v>
      </c>
      <c r="AC86">
        <v>1</v>
      </c>
      <c r="AD86">
        <v>1</v>
      </c>
    </row>
    <row r="87" spans="1:30" x14ac:dyDescent="0.25">
      <c r="A87">
        <v>5</v>
      </c>
      <c r="B87">
        <f>LOOKUP(A87,'cluster stats'!$B$21:$B$35,'cluster stats'!$A$21:$A$35)</f>
        <v>48</v>
      </c>
      <c r="C87" t="str">
        <f>VLOOKUP(A87,'cluster stats'!$A$2:$B$16,2,FALSE)</f>
        <v>medium reef omnivores</v>
      </c>
      <c r="D87" t="s">
        <v>790</v>
      </c>
      <c r="E87" t="s">
        <v>787</v>
      </c>
      <c r="F87" t="s">
        <v>2385</v>
      </c>
      <c r="G87" t="s">
        <v>428</v>
      </c>
      <c r="H87" t="s">
        <v>789</v>
      </c>
      <c r="I87" t="s">
        <v>2450</v>
      </c>
      <c r="J87">
        <v>0.75966798945716996</v>
      </c>
      <c r="K87">
        <v>11.8504423877934</v>
      </c>
      <c r="L87">
        <v>45.466666666666697</v>
      </c>
      <c r="M87">
        <v>3.53</v>
      </c>
      <c r="N87">
        <v>36.43</v>
      </c>
      <c r="O87">
        <v>1.4406600000000001</v>
      </c>
      <c r="P87" s="4">
        <v>0</v>
      </c>
      <c r="Q87" s="4">
        <v>2.5000001193955557E-2</v>
      </c>
      <c r="R87" s="4">
        <v>0</v>
      </c>
      <c r="S87" s="4">
        <v>0.64249999625552412</v>
      </c>
      <c r="T87" s="4">
        <v>0</v>
      </c>
      <c r="U87" s="4">
        <v>0</v>
      </c>
      <c r="V87" s="4">
        <v>0.30520000211367043</v>
      </c>
      <c r="W87" s="4">
        <v>2.7300000436849874E-2</v>
      </c>
      <c r="X87" t="s">
        <v>50</v>
      </c>
      <c r="Y87" t="s">
        <v>77</v>
      </c>
      <c r="Z87" t="s">
        <v>2385</v>
      </c>
      <c r="AA87">
        <v>0</v>
      </c>
      <c r="AB87">
        <v>1</v>
      </c>
      <c r="AC87">
        <v>1</v>
      </c>
      <c r="AD87">
        <v>1</v>
      </c>
    </row>
    <row r="88" spans="1:30" x14ac:dyDescent="0.25">
      <c r="A88">
        <v>5</v>
      </c>
      <c r="B88">
        <f>LOOKUP(A88,'cluster stats'!$B$21:$B$35,'cluster stats'!$A$21:$A$35)</f>
        <v>48</v>
      </c>
      <c r="C88" t="str">
        <f>VLOOKUP(A88,'cluster stats'!$A$2:$B$16,2,FALSE)</f>
        <v>medium reef omnivores</v>
      </c>
      <c r="D88" t="s">
        <v>1192</v>
      </c>
      <c r="E88" t="s">
        <v>1189</v>
      </c>
      <c r="F88" t="s">
        <v>2385</v>
      </c>
      <c r="G88" t="s">
        <v>1187</v>
      </c>
      <c r="H88" t="s">
        <v>1191</v>
      </c>
      <c r="I88" t="s">
        <v>2451</v>
      </c>
      <c r="J88">
        <v>0.54140692710905802</v>
      </c>
      <c r="K88">
        <v>5.92693011462271</v>
      </c>
      <c r="L88">
        <v>72.403736834253607</v>
      </c>
      <c r="M88">
        <v>3.67</v>
      </c>
      <c r="N88">
        <v>56.46</v>
      </c>
      <c r="O88">
        <v>1.87561</v>
      </c>
      <c r="P88" s="4">
        <v>0.15761059130971986</v>
      </c>
      <c r="Q88" s="4">
        <v>0.37335666007364066</v>
      </c>
      <c r="R88" s="4">
        <v>0.18845289066504331</v>
      </c>
      <c r="S88" s="4">
        <v>8.897775416541992E-3</v>
      </c>
      <c r="T88" s="4">
        <v>0</v>
      </c>
      <c r="U88" s="4">
        <v>0</v>
      </c>
      <c r="V88" s="4">
        <v>0.24708823060703811</v>
      </c>
      <c r="W88" s="4">
        <v>2.4593851928016126E-2</v>
      </c>
      <c r="X88" t="s">
        <v>50</v>
      </c>
      <c r="Y88" t="s">
        <v>77</v>
      </c>
      <c r="Z88" t="s">
        <v>2385</v>
      </c>
      <c r="AA88">
        <v>1</v>
      </c>
      <c r="AB88">
        <v>0</v>
      </c>
      <c r="AC88">
        <v>1</v>
      </c>
      <c r="AD88">
        <v>0</v>
      </c>
    </row>
    <row r="89" spans="1:30" x14ac:dyDescent="0.25">
      <c r="A89">
        <v>5</v>
      </c>
      <c r="B89">
        <f>LOOKUP(A89,'cluster stats'!$B$21:$B$35,'cluster stats'!$A$21:$A$35)</f>
        <v>48</v>
      </c>
      <c r="C89" t="str">
        <f>VLOOKUP(A89,'cluster stats'!$A$2:$B$16,2,FALSE)</f>
        <v>medium reef omnivores</v>
      </c>
      <c r="D89" t="s">
        <v>739</v>
      </c>
      <c r="E89" t="s">
        <v>735</v>
      </c>
      <c r="F89" t="s">
        <v>2385</v>
      </c>
      <c r="G89" t="s">
        <v>737</v>
      </c>
      <c r="H89" t="s">
        <v>738</v>
      </c>
      <c r="I89" t="s">
        <v>2452</v>
      </c>
      <c r="J89">
        <v>0.63597825559319299</v>
      </c>
      <c r="K89">
        <v>6.7699003282428851</v>
      </c>
      <c r="L89">
        <v>93.733025249860802</v>
      </c>
      <c r="M89">
        <v>4.3533333333333299</v>
      </c>
      <c r="N89">
        <v>36.89</v>
      </c>
      <c r="O89">
        <v>3.2325900000000001</v>
      </c>
      <c r="P89" s="4">
        <v>0</v>
      </c>
      <c r="Q89" s="4">
        <v>9.6617389380311506E-3</v>
      </c>
      <c r="R89" s="4">
        <v>0.26356744036026114</v>
      </c>
      <c r="S89" s="4">
        <v>3.8907002071881379E-2</v>
      </c>
      <c r="T89" s="4">
        <v>0</v>
      </c>
      <c r="U89" s="4">
        <v>0.36338541564171856</v>
      </c>
      <c r="V89" s="4">
        <v>0.21513872224419692</v>
      </c>
      <c r="W89" s="4">
        <v>0.1093396807439109</v>
      </c>
      <c r="X89" t="s">
        <v>50</v>
      </c>
      <c r="Y89" t="s">
        <v>77</v>
      </c>
      <c r="Z89" t="s">
        <v>2385</v>
      </c>
      <c r="AA89">
        <v>0</v>
      </c>
      <c r="AB89">
        <v>0</v>
      </c>
      <c r="AC89">
        <v>0</v>
      </c>
      <c r="AD89">
        <v>0</v>
      </c>
    </row>
    <row r="90" spans="1:30" x14ac:dyDescent="0.25">
      <c r="A90">
        <v>5</v>
      </c>
      <c r="B90">
        <f>LOOKUP(A90,'cluster stats'!$B$21:$B$35,'cluster stats'!$A$21:$A$35)</f>
        <v>48</v>
      </c>
      <c r="C90" t="str">
        <f>VLOOKUP(A90,'cluster stats'!$A$2:$B$16,2,FALSE)</f>
        <v>medium reef omnivores</v>
      </c>
      <c r="D90" t="s">
        <v>1303</v>
      </c>
      <c r="E90" t="s">
        <v>1300</v>
      </c>
      <c r="F90" t="s">
        <v>2385</v>
      </c>
      <c r="G90" t="s">
        <v>1298</v>
      </c>
      <c r="H90" t="s">
        <v>1302</v>
      </c>
      <c r="I90" t="s">
        <v>2453</v>
      </c>
      <c r="J90">
        <v>1.02705544190691</v>
      </c>
      <c r="K90">
        <v>11.780579175189601</v>
      </c>
      <c r="L90">
        <v>26.802554733935601</v>
      </c>
      <c r="M90">
        <v>2.9933333333333301</v>
      </c>
      <c r="N90">
        <v>31.78</v>
      </c>
      <c r="O90">
        <v>2.1315400000000002</v>
      </c>
      <c r="P90" s="4">
        <v>9.1539247821867502E-3</v>
      </c>
      <c r="Q90" s="4">
        <v>0.37272171687023858</v>
      </c>
      <c r="R90" s="4">
        <v>0.11914372866076793</v>
      </c>
      <c r="S90" s="4">
        <v>0.12444444350767445</v>
      </c>
      <c r="T90" s="4">
        <v>0</v>
      </c>
      <c r="U90" s="4">
        <v>2.0387360238864833E-4</v>
      </c>
      <c r="V90" s="4">
        <v>0.35414882638077078</v>
      </c>
      <c r="W90" s="4">
        <v>2.0183486195972898E-2</v>
      </c>
      <c r="X90" t="s">
        <v>50</v>
      </c>
      <c r="Y90" t="s">
        <v>77</v>
      </c>
      <c r="Z90" t="s">
        <v>2385</v>
      </c>
      <c r="AA90">
        <v>0</v>
      </c>
      <c r="AB90">
        <v>0</v>
      </c>
      <c r="AC90">
        <v>1</v>
      </c>
      <c r="AD90">
        <v>1</v>
      </c>
    </row>
    <row r="91" spans="1:30" x14ac:dyDescent="0.25">
      <c r="A91">
        <v>5</v>
      </c>
      <c r="B91">
        <f>LOOKUP(A91,'cluster stats'!$B$21:$B$35,'cluster stats'!$A$21:$A$35)</f>
        <v>48</v>
      </c>
      <c r="C91" t="str">
        <f>VLOOKUP(A91,'cluster stats'!$A$2:$B$16,2,FALSE)</f>
        <v>medium reef omnivores</v>
      </c>
      <c r="D91" t="s">
        <v>1465</v>
      </c>
      <c r="E91" t="s">
        <v>1463</v>
      </c>
      <c r="F91" t="s">
        <v>2385</v>
      </c>
      <c r="G91" t="s">
        <v>1460</v>
      </c>
      <c r="H91" t="s">
        <v>1461</v>
      </c>
      <c r="I91" t="s">
        <v>2454</v>
      </c>
      <c r="J91">
        <v>0.24997449999999999</v>
      </c>
      <c r="K91">
        <v>24.725527438464248</v>
      </c>
      <c r="L91">
        <v>45.5</v>
      </c>
      <c r="M91">
        <v>2.2149999999999999</v>
      </c>
      <c r="N91">
        <v>59.24</v>
      </c>
      <c r="O91">
        <v>1.90961</v>
      </c>
      <c r="P91" s="4">
        <v>0</v>
      </c>
      <c r="Q91" s="4">
        <v>2.5000000000000001E-3</v>
      </c>
      <c r="R91" s="4">
        <v>0.27500000000000002</v>
      </c>
      <c r="S91" s="4">
        <v>0.5</v>
      </c>
      <c r="T91" s="4">
        <v>0</v>
      </c>
      <c r="U91" s="4">
        <v>0</v>
      </c>
      <c r="V91" s="4">
        <v>0</v>
      </c>
      <c r="W91" s="4">
        <v>0.2225</v>
      </c>
      <c r="X91" t="s">
        <v>50</v>
      </c>
      <c r="Y91" t="s">
        <v>77</v>
      </c>
      <c r="Z91" t="s">
        <v>2385</v>
      </c>
      <c r="AA91">
        <v>1</v>
      </c>
      <c r="AB91">
        <v>0</v>
      </c>
      <c r="AC91">
        <v>0</v>
      </c>
      <c r="AD91">
        <v>1</v>
      </c>
    </row>
    <row r="92" spans="1:30" x14ac:dyDescent="0.25">
      <c r="A92">
        <v>5</v>
      </c>
      <c r="B92">
        <f>LOOKUP(A92,'cluster stats'!$B$21:$B$35,'cluster stats'!$A$21:$A$35)</f>
        <v>48</v>
      </c>
      <c r="C92" t="str">
        <f>VLOOKUP(A92,'cluster stats'!$A$2:$B$16,2,FALSE)</f>
        <v>medium reef omnivores</v>
      </c>
      <c r="D92" t="s">
        <v>793</v>
      </c>
      <c r="E92" t="s">
        <v>791</v>
      </c>
      <c r="F92" t="s">
        <v>2385</v>
      </c>
      <c r="G92" t="s">
        <v>723</v>
      </c>
      <c r="H92" t="s">
        <v>728</v>
      </c>
      <c r="I92" t="s">
        <v>2455</v>
      </c>
      <c r="J92">
        <v>0.92649175867684996</v>
      </c>
      <c r="K92">
        <v>16.150952888299351</v>
      </c>
      <c r="L92">
        <v>31.4510411455501</v>
      </c>
      <c r="M92">
        <v>2.9649999999999999</v>
      </c>
      <c r="N92">
        <v>24.86</v>
      </c>
      <c r="O92">
        <v>1.697195</v>
      </c>
      <c r="P92" s="4">
        <v>9.0546601422873442E-3</v>
      </c>
      <c r="Q92" s="4">
        <v>0.15459378433135421</v>
      </c>
      <c r="R92" s="4">
        <v>0.58664229800025547</v>
      </c>
      <c r="S92" s="4">
        <v>0.11483081631312921</v>
      </c>
      <c r="T92" s="4">
        <v>0</v>
      </c>
      <c r="U92" s="4">
        <v>0</v>
      </c>
      <c r="V92" s="4">
        <v>0.13487844121297385</v>
      </c>
      <c r="W92" s="4">
        <v>0</v>
      </c>
      <c r="X92" t="s">
        <v>50</v>
      </c>
      <c r="Y92" t="s">
        <v>77</v>
      </c>
      <c r="Z92" t="s">
        <v>2385</v>
      </c>
      <c r="AA92">
        <v>0</v>
      </c>
      <c r="AB92">
        <v>0</v>
      </c>
      <c r="AC92">
        <v>0</v>
      </c>
      <c r="AD92">
        <v>0</v>
      </c>
    </row>
    <row r="93" spans="1:30" x14ac:dyDescent="0.25">
      <c r="A93">
        <v>5</v>
      </c>
      <c r="B93">
        <f>LOOKUP(A93,'cluster stats'!$B$21:$B$35,'cluster stats'!$A$21:$A$35)</f>
        <v>48</v>
      </c>
      <c r="C93" t="str">
        <f>VLOOKUP(A93,'cluster stats'!$A$2:$B$16,2,FALSE)</f>
        <v>medium reef omnivores</v>
      </c>
      <c r="D93" t="s">
        <v>729</v>
      </c>
      <c r="E93" t="s">
        <v>726</v>
      </c>
      <c r="F93" t="s">
        <v>2385</v>
      </c>
      <c r="G93" t="s">
        <v>723</v>
      </c>
      <c r="H93" t="s">
        <v>728</v>
      </c>
      <c r="I93" t="s">
        <v>2456</v>
      </c>
      <c r="J93">
        <v>0.92649175867684996</v>
      </c>
      <c r="K93">
        <v>8.8722955929423399</v>
      </c>
      <c r="L93">
        <v>31.4510411455501</v>
      </c>
      <c r="M93">
        <v>3.31666666666667</v>
      </c>
      <c r="N93">
        <v>24.86</v>
      </c>
      <c r="O93">
        <v>1.9722500000000001</v>
      </c>
      <c r="P93" s="4">
        <v>7.4000000071525541E-3</v>
      </c>
      <c r="Q93" s="4">
        <v>0.36349999948143918</v>
      </c>
      <c r="R93" s="4">
        <v>0</v>
      </c>
      <c r="S93" s="4">
        <v>9.2799996223449713E-2</v>
      </c>
      <c r="T93" s="4">
        <v>0</v>
      </c>
      <c r="U93" s="4">
        <v>0</v>
      </c>
      <c r="V93" s="4">
        <v>0.53630000428795854</v>
      </c>
      <c r="W93" s="4">
        <v>0</v>
      </c>
      <c r="X93" t="s">
        <v>50</v>
      </c>
      <c r="Y93" t="s">
        <v>77</v>
      </c>
      <c r="Z93" t="s">
        <v>2385</v>
      </c>
      <c r="AA93">
        <v>0</v>
      </c>
      <c r="AB93">
        <v>0</v>
      </c>
      <c r="AC93">
        <v>1</v>
      </c>
      <c r="AD93">
        <v>0</v>
      </c>
    </row>
    <row r="94" spans="1:30" x14ac:dyDescent="0.25">
      <c r="A94">
        <v>8</v>
      </c>
      <c r="B94">
        <f>LOOKUP(A94,'cluster stats'!$B$21:$B$35,'cluster stats'!$A$21:$A$35)</f>
        <v>50</v>
      </c>
      <c r="C94" t="str">
        <f>VLOOKUP(A94,'cluster stats'!$A$2:$B$16,2,FALSE)</f>
        <v>reef planktivores</v>
      </c>
      <c r="D94" t="s">
        <v>831</v>
      </c>
      <c r="E94" t="s">
        <v>828</v>
      </c>
      <c r="F94" t="s">
        <v>2385</v>
      </c>
      <c r="G94" t="s">
        <v>827</v>
      </c>
      <c r="H94" t="s">
        <v>830</v>
      </c>
      <c r="I94" t="s">
        <v>2457</v>
      </c>
      <c r="J94">
        <v>1.85935783554717</v>
      </c>
      <c r="K94">
        <v>17.617463546244871</v>
      </c>
      <c r="L94">
        <v>10.6684174234025</v>
      </c>
      <c r="M94">
        <v>3.2833333333333301</v>
      </c>
      <c r="N94">
        <v>10</v>
      </c>
      <c r="O94">
        <v>1.65</v>
      </c>
      <c r="P94">
        <v>0</v>
      </c>
      <c r="Q94">
        <v>0</v>
      </c>
      <c r="R94">
        <v>1.8999999840855583E-2</v>
      </c>
      <c r="S94">
        <v>0</v>
      </c>
      <c r="T94">
        <v>0</v>
      </c>
      <c r="U94">
        <v>1.2999999577403028E-2</v>
      </c>
      <c r="V94">
        <v>3.0000001317262671E-3</v>
      </c>
      <c r="W94">
        <v>0.96500000045001511</v>
      </c>
      <c r="X94" t="s">
        <v>70</v>
      </c>
      <c r="Y94" t="s">
        <v>77</v>
      </c>
      <c r="Z94" t="s">
        <v>2385</v>
      </c>
      <c r="AA94">
        <v>0</v>
      </c>
      <c r="AB94">
        <v>0</v>
      </c>
      <c r="AC94">
        <v>0</v>
      </c>
      <c r="AD94">
        <v>1</v>
      </c>
    </row>
    <row r="95" spans="1:30" x14ac:dyDescent="0.25">
      <c r="A95">
        <v>8</v>
      </c>
      <c r="B95">
        <f>LOOKUP(A95,'cluster stats'!$B$21:$B$35,'cluster stats'!$A$21:$A$35)</f>
        <v>50</v>
      </c>
      <c r="C95" t="str">
        <f>VLOOKUP(A95,'cluster stats'!$A$2:$B$16,2,FALSE)</f>
        <v>reef planktivores</v>
      </c>
      <c r="D95" t="s">
        <v>904</v>
      </c>
      <c r="E95" t="s">
        <v>902</v>
      </c>
      <c r="F95" t="s">
        <v>2385</v>
      </c>
      <c r="G95" t="s">
        <v>337</v>
      </c>
      <c r="H95" t="s">
        <v>706</v>
      </c>
      <c r="I95" t="s">
        <v>2458</v>
      </c>
      <c r="J95">
        <v>1.9878141273202801</v>
      </c>
      <c r="K95">
        <v>14.514081712184399</v>
      </c>
      <c r="L95">
        <v>9.6176740302754897</v>
      </c>
      <c r="M95">
        <v>3.5416666666666701</v>
      </c>
      <c r="N95">
        <v>13.37</v>
      </c>
      <c r="O95">
        <v>1.1890046000000001</v>
      </c>
      <c r="P95">
        <v>0</v>
      </c>
      <c r="Q95">
        <v>0</v>
      </c>
      <c r="R95">
        <v>0</v>
      </c>
      <c r="S95">
        <v>0</v>
      </c>
      <c r="T95">
        <v>0</v>
      </c>
      <c r="U95">
        <v>0</v>
      </c>
      <c r="V95">
        <v>0</v>
      </c>
      <c r="W95">
        <v>1</v>
      </c>
      <c r="X95" t="s">
        <v>70</v>
      </c>
      <c r="Y95" t="s">
        <v>77</v>
      </c>
      <c r="Z95" t="s">
        <v>2385</v>
      </c>
      <c r="AA95">
        <v>1</v>
      </c>
      <c r="AB95">
        <v>1</v>
      </c>
      <c r="AC95">
        <v>1</v>
      </c>
      <c r="AD95">
        <v>0</v>
      </c>
    </row>
    <row r="96" spans="1:30" x14ac:dyDescent="0.25">
      <c r="A96">
        <v>8</v>
      </c>
      <c r="B96">
        <f>LOOKUP(A96,'cluster stats'!$B$21:$B$35,'cluster stats'!$A$21:$A$35)</f>
        <v>50</v>
      </c>
      <c r="C96" t="str">
        <f>VLOOKUP(A96,'cluster stats'!$A$2:$B$16,2,FALSE)</f>
        <v>reef planktivores</v>
      </c>
      <c r="D96" t="s">
        <v>907</v>
      </c>
      <c r="E96" t="s">
        <v>905</v>
      </c>
      <c r="F96" t="s">
        <v>2385</v>
      </c>
      <c r="G96" t="s">
        <v>337</v>
      </c>
      <c r="H96" t="s">
        <v>706</v>
      </c>
      <c r="I96" t="s">
        <v>2459</v>
      </c>
      <c r="J96">
        <v>1.85935783554717</v>
      </c>
      <c r="K96">
        <v>13.65097102141225</v>
      </c>
      <c r="L96">
        <v>10.6684174234025</v>
      </c>
      <c r="M96">
        <v>3.5416666666666701</v>
      </c>
      <c r="N96">
        <v>14.62</v>
      </c>
      <c r="O96">
        <v>1.1890046000000001</v>
      </c>
      <c r="P96">
        <v>0</v>
      </c>
      <c r="Q96">
        <v>0</v>
      </c>
      <c r="R96">
        <v>0</v>
      </c>
      <c r="S96">
        <v>0</v>
      </c>
      <c r="T96">
        <v>0</v>
      </c>
      <c r="U96">
        <v>0</v>
      </c>
      <c r="V96">
        <v>0</v>
      </c>
      <c r="W96">
        <v>1</v>
      </c>
      <c r="X96" t="s">
        <v>70</v>
      </c>
      <c r="Y96" t="s">
        <v>77</v>
      </c>
      <c r="Z96" t="s">
        <v>2385</v>
      </c>
      <c r="AA96">
        <v>1</v>
      </c>
      <c r="AB96">
        <v>1</v>
      </c>
      <c r="AC96">
        <v>1</v>
      </c>
      <c r="AD96">
        <v>0</v>
      </c>
    </row>
    <row r="97" spans="1:30" x14ac:dyDescent="0.25">
      <c r="A97">
        <v>8</v>
      </c>
      <c r="B97">
        <f>LOOKUP(A97,'cluster stats'!$B$21:$B$35,'cluster stats'!$A$21:$A$35)</f>
        <v>50</v>
      </c>
      <c r="C97" t="str">
        <f>VLOOKUP(A97,'cluster stats'!$A$2:$B$16,2,FALSE)</f>
        <v>reef planktivores</v>
      </c>
      <c r="D97" t="s">
        <v>910</v>
      </c>
      <c r="E97" t="s">
        <v>908</v>
      </c>
      <c r="F97" t="s">
        <v>2385</v>
      </c>
      <c r="G97" t="s">
        <v>337</v>
      </c>
      <c r="H97" t="s">
        <v>706</v>
      </c>
      <c r="I97" t="s">
        <v>2460</v>
      </c>
      <c r="J97">
        <v>1.1981004043474499</v>
      </c>
      <c r="K97">
        <v>9.3035091478247054</v>
      </c>
      <c r="L97">
        <v>21.1029718069605</v>
      </c>
      <c r="M97">
        <v>3.5</v>
      </c>
      <c r="N97">
        <v>24.95</v>
      </c>
      <c r="O97">
        <v>1.2557750000000001</v>
      </c>
      <c r="P97">
        <v>0</v>
      </c>
      <c r="Q97">
        <v>0</v>
      </c>
      <c r="R97">
        <v>0</v>
      </c>
      <c r="S97">
        <v>0</v>
      </c>
      <c r="T97">
        <v>0</v>
      </c>
      <c r="U97">
        <v>0</v>
      </c>
      <c r="V97">
        <v>0</v>
      </c>
      <c r="W97">
        <v>1</v>
      </c>
      <c r="X97" t="s">
        <v>70</v>
      </c>
      <c r="Y97" t="s">
        <v>77</v>
      </c>
      <c r="Z97" t="s">
        <v>2385</v>
      </c>
      <c r="AA97">
        <v>0</v>
      </c>
      <c r="AB97">
        <v>1</v>
      </c>
      <c r="AC97">
        <v>0</v>
      </c>
      <c r="AD97">
        <v>0</v>
      </c>
    </row>
    <row r="98" spans="1:30" x14ac:dyDescent="0.25">
      <c r="A98">
        <v>13</v>
      </c>
      <c r="B98">
        <f>LOOKUP(A98,'cluster stats'!$B$21:$B$35,'cluster stats'!$A$21:$A$35)</f>
        <v>52</v>
      </c>
      <c r="C98" t="str">
        <f>VLOOKUP(A98,'cluster stats'!$A$2:$B$16,2,FALSE)</f>
        <v>offshore demersal carnivores</v>
      </c>
      <c r="D98" t="s">
        <v>979</v>
      </c>
      <c r="E98" t="s">
        <v>975</v>
      </c>
      <c r="F98" t="s">
        <v>2385</v>
      </c>
      <c r="G98" t="s">
        <v>977</v>
      </c>
      <c r="H98" t="s">
        <v>978</v>
      </c>
      <c r="I98" t="s">
        <v>2461</v>
      </c>
      <c r="J98">
        <v>1.0400324152168099</v>
      </c>
      <c r="K98">
        <v>8.7085435899259114</v>
      </c>
      <c r="L98">
        <v>26.285289375079898</v>
      </c>
      <c r="M98">
        <v>3.72</v>
      </c>
      <c r="N98">
        <v>35.159999999999997</v>
      </c>
      <c r="O98">
        <v>1.22421</v>
      </c>
      <c r="P98">
        <v>0.28299999574422785</v>
      </c>
      <c r="Q98">
        <v>0.71700000425577215</v>
      </c>
      <c r="R98">
        <v>0</v>
      </c>
      <c r="S98">
        <v>0</v>
      </c>
      <c r="T98">
        <v>0</v>
      </c>
      <c r="U98">
        <v>0</v>
      </c>
      <c r="V98">
        <v>0</v>
      </c>
      <c r="W98">
        <v>0</v>
      </c>
      <c r="X98" t="s">
        <v>70</v>
      </c>
      <c r="Y98" t="s">
        <v>109</v>
      </c>
      <c r="Z98" t="s">
        <v>2385</v>
      </c>
      <c r="AA98">
        <v>0</v>
      </c>
      <c r="AB98">
        <v>0</v>
      </c>
      <c r="AC98">
        <v>0</v>
      </c>
      <c r="AD98">
        <v>0</v>
      </c>
    </row>
    <row r="99" spans="1:30" x14ac:dyDescent="0.25">
      <c r="A99">
        <v>13</v>
      </c>
      <c r="B99">
        <f>LOOKUP(A99,'cluster stats'!$B$21:$B$35,'cluster stats'!$A$21:$A$35)</f>
        <v>52</v>
      </c>
      <c r="C99" t="str">
        <f>VLOOKUP(A99,'cluster stats'!$A$2:$B$16,2,FALSE)</f>
        <v>offshore demersal carnivores</v>
      </c>
      <c r="D99" t="s">
        <v>1119</v>
      </c>
      <c r="E99" t="s">
        <v>1117</v>
      </c>
      <c r="F99" t="s">
        <v>2385</v>
      </c>
      <c r="G99" t="s">
        <v>428</v>
      </c>
      <c r="H99" t="s">
        <v>497</v>
      </c>
      <c r="I99" t="s">
        <v>2462</v>
      </c>
      <c r="J99">
        <v>1.0400324152168099</v>
      </c>
      <c r="K99">
        <v>8.7319413117117861</v>
      </c>
      <c r="L99">
        <v>26.285289375079898</v>
      </c>
      <c r="M99">
        <v>3.5</v>
      </c>
      <c r="N99">
        <v>32.799999999999997</v>
      </c>
      <c r="O99">
        <v>1.9221999999999999</v>
      </c>
      <c r="P99">
        <v>0.14099823479231474</v>
      </c>
      <c r="Q99">
        <v>0.28584642809161048</v>
      </c>
      <c r="R99">
        <v>6.149923195855867E-3</v>
      </c>
      <c r="S99">
        <v>0</v>
      </c>
      <c r="T99">
        <v>0</v>
      </c>
      <c r="U99">
        <v>1.0999862694575931E-2</v>
      </c>
      <c r="V99">
        <v>0.55600555122564299</v>
      </c>
      <c r="W99">
        <v>0</v>
      </c>
      <c r="X99" t="s">
        <v>70</v>
      </c>
      <c r="Y99" t="s">
        <v>109</v>
      </c>
      <c r="Z99" t="s">
        <v>2385</v>
      </c>
      <c r="AA99">
        <v>0</v>
      </c>
      <c r="AB99">
        <v>0</v>
      </c>
      <c r="AC99">
        <v>0</v>
      </c>
      <c r="AD99">
        <v>0</v>
      </c>
    </row>
    <row r="100" spans="1:30" x14ac:dyDescent="0.25">
      <c r="A100">
        <v>13</v>
      </c>
      <c r="B100">
        <f>LOOKUP(A100,'cluster stats'!$B$21:$B$35,'cluster stats'!$A$21:$A$35)</f>
        <v>52</v>
      </c>
      <c r="C100" t="str">
        <f>VLOOKUP(A100,'cluster stats'!$A$2:$B$16,2,FALSE)</f>
        <v>offshore demersal carnivores</v>
      </c>
      <c r="D100" t="s">
        <v>401</v>
      </c>
      <c r="E100" t="s">
        <v>397</v>
      </c>
      <c r="F100" t="s">
        <v>2385</v>
      </c>
      <c r="G100" t="s">
        <v>399</v>
      </c>
      <c r="H100" t="s">
        <v>400</v>
      </c>
      <c r="I100" t="s">
        <v>2463</v>
      </c>
      <c r="J100">
        <v>0.25631189999999998</v>
      </c>
      <c r="K100">
        <v>5.4378865196937198</v>
      </c>
      <c r="L100">
        <v>81.400000000000006</v>
      </c>
      <c r="M100">
        <v>3.4966666666666701</v>
      </c>
      <c r="N100">
        <v>69.63</v>
      </c>
      <c r="O100">
        <v>1.9509399999999999</v>
      </c>
      <c r="P100">
        <v>0.32199999995231665</v>
      </c>
      <c r="Q100">
        <v>0.6439999999046323</v>
      </c>
      <c r="R100">
        <v>0</v>
      </c>
      <c r="S100">
        <v>0</v>
      </c>
      <c r="T100">
        <v>0</v>
      </c>
      <c r="U100">
        <v>0</v>
      </c>
      <c r="V100">
        <v>3.4000000143051115E-2</v>
      </c>
      <c r="W100">
        <v>0</v>
      </c>
      <c r="X100" t="s">
        <v>70</v>
      </c>
      <c r="Y100" t="s">
        <v>109</v>
      </c>
      <c r="Z100" t="s">
        <v>2385</v>
      </c>
      <c r="AA100">
        <v>0</v>
      </c>
      <c r="AB100">
        <v>0</v>
      </c>
      <c r="AC100">
        <v>0</v>
      </c>
      <c r="AD100">
        <v>0</v>
      </c>
    </row>
    <row r="101" spans="1:30" x14ac:dyDescent="0.25">
      <c r="A101">
        <v>13</v>
      </c>
      <c r="B101">
        <f>LOOKUP(A101,'cluster stats'!$B$21:$B$35,'cluster stats'!$A$21:$A$35)</f>
        <v>52</v>
      </c>
      <c r="C101" t="str">
        <f>VLOOKUP(A101,'cluster stats'!$A$2:$B$16,2,FALSE)</f>
        <v>offshore demersal carnivores</v>
      </c>
      <c r="D101" t="s">
        <v>1116</v>
      </c>
      <c r="E101" t="s">
        <v>1113</v>
      </c>
      <c r="F101" t="s">
        <v>2385</v>
      </c>
      <c r="G101" t="s">
        <v>337</v>
      </c>
      <c r="H101" t="s">
        <v>442</v>
      </c>
      <c r="I101" t="s">
        <v>2464</v>
      </c>
      <c r="J101">
        <v>0.92649175867684996</v>
      </c>
      <c r="K101">
        <v>6.6707734055553649</v>
      </c>
      <c r="L101">
        <v>31.4510411455501</v>
      </c>
      <c r="M101">
        <v>3.52</v>
      </c>
      <c r="N101">
        <v>32.04</v>
      </c>
      <c r="O101">
        <v>1.11816</v>
      </c>
      <c r="P101">
        <v>0.24966666573923091</v>
      </c>
      <c r="Q101">
        <v>0.56299999926851418</v>
      </c>
      <c r="R101">
        <v>3.300000026403619E-2</v>
      </c>
      <c r="S101">
        <v>0</v>
      </c>
      <c r="T101">
        <v>7.6666663692767463E-3</v>
      </c>
      <c r="U101">
        <v>0</v>
      </c>
      <c r="V101">
        <v>8.033333501365035E-2</v>
      </c>
      <c r="W101">
        <v>6.633333334529154E-2</v>
      </c>
      <c r="X101" t="s">
        <v>70</v>
      </c>
      <c r="Y101" t="s">
        <v>109</v>
      </c>
      <c r="Z101" t="s">
        <v>2385</v>
      </c>
      <c r="AA101">
        <v>1</v>
      </c>
      <c r="AB101">
        <v>1</v>
      </c>
      <c r="AC101">
        <v>0</v>
      </c>
      <c r="AD101">
        <v>0</v>
      </c>
    </row>
    <row r="102" spans="1:30" x14ac:dyDescent="0.25">
      <c r="A102">
        <v>13</v>
      </c>
      <c r="B102">
        <f>LOOKUP(A102,'cluster stats'!$B$21:$B$35,'cluster stats'!$A$21:$A$35)</f>
        <v>52</v>
      </c>
      <c r="C102" t="str">
        <f>VLOOKUP(A102,'cluster stats'!$A$2:$B$16,2,FALSE)</f>
        <v>offshore demersal carnivores</v>
      </c>
      <c r="D102" t="s">
        <v>1099</v>
      </c>
      <c r="E102" t="s">
        <v>1097</v>
      </c>
      <c r="F102" t="s">
        <v>2385</v>
      </c>
      <c r="G102" t="s">
        <v>471</v>
      </c>
      <c r="H102" t="s">
        <v>531</v>
      </c>
      <c r="I102" t="s">
        <v>2465</v>
      </c>
      <c r="J102">
        <v>1.57440534052281</v>
      </c>
      <c r="K102">
        <v>12.746922601609398</v>
      </c>
      <c r="L102">
        <v>13.8112075901966</v>
      </c>
      <c r="M102">
        <v>3.3849999856948898</v>
      </c>
      <c r="N102">
        <v>16.489999999999998</v>
      </c>
      <c r="O102">
        <v>1.2672600000000001</v>
      </c>
      <c r="P102">
        <v>3.4679763866027891E-2</v>
      </c>
      <c r="Q102">
        <v>0.74020246856964955</v>
      </c>
      <c r="R102">
        <v>7.5172899343470484E-3</v>
      </c>
      <c r="S102">
        <v>4.0092211526971738E-3</v>
      </c>
      <c r="T102">
        <v>0</v>
      </c>
      <c r="U102">
        <v>4.2096823811569595E-3</v>
      </c>
      <c r="V102">
        <v>0.19404630314084795</v>
      </c>
      <c r="W102">
        <v>1.533527095527344E-2</v>
      </c>
      <c r="X102" t="s">
        <v>70</v>
      </c>
      <c r="Y102" t="s">
        <v>109</v>
      </c>
      <c r="Z102" t="s">
        <v>2385</v>
      </c>
      <c r="AA102">
        <v>1</v>
      </c>
      <c r="AB102">
        <v>0</v>
      </c>
      <c r="AC102">
        <v>0</v>
      </c>
      <c r="AD102">
        <v>0</v>
      </c>
    </row>
    <row r="103" spans="1:30" x14ac:dyDescent="0.25">
      <c r="A103">
        <v>13</v>
      </c>
      <c r="B103">
        <f>LOOKUP(A103,'cluster stats'!$B$21:$B$35,'cluster stats'!$A$21:$A$35)</f>
        <v>52</v>
      </c>
      <c r="C103" t="str">
        <f>VLOOKUP(A103,'cluster stats'!$A$2:$B$16,2,FALSE)</f>
        <v>offshore demersal carnivores</v>
      </c>
      <c r="D103" t="s">
        <v>1010</v>
      </c>
      <c r="E103" t="s">
        <v>1007</v>
      </c>
      <c r="F103" t="s">
        <v>2385</v>
      </c>
      <c r="G103" t="s">
        <v>1005</v>
      </c>
      <c r="H103" t="s">
        <v>1009</v>
      </c>
      <c r="I103" t="s">
        <v>2466</v>
      </c>
      <c r="J103">
        <v>0.45843459561171901</v>
      </c>
      <c r="K103">
        <v>6.6903116121426818</v>
      </c>
      <c r="L103">
        <v>93.733025249860802</v>
      </c>
      <c r="M103">
        <v>4.1266666666666696</v>
      </c>
      <c r="N103">
        <v>57</v>
      </c>
      <c r="O103">
        <v>1.65</v>
      </c>
      <c r="P103">
        <v>0.8125</v>
      </c>
      <c r="Q103">
        <v>0.125</v>
      </c>
      <c r="R103">
        <v>0</v>
      </c>
      <c r="S103">
        <v>0</v>
      </c>
      <c r="T103">
        <v>0</v>
      </c>
      <c r="U103">
        <v>0</v>
      </c>
      <c r="V103">
        <v>6.25E-2</v>
      </c>
      <c r="W103">
        <v>0</v>
      </c>
      <c r="X103" t="s">
        <v>70</v>
      </c>
      <c r="Y103" t="s">
        <v>109</v>
      </c>
      <c r="Z103" t="s">
        <v>2385</v>
      </c>
      <c r="AA103">
        <v>1</v>
      </c>
      <c r="AB103">
        <v>1</v>
      </c>
      <c r="AC103">
        <v>1</v>
      </c>
      <c r="AD103">
        <v>1</v>
      </c>
    </row>
    <row r="104" spans="1:30" x14ac:dyDescent="0.25">
      <c r="A104">
        <v>13</v>
      </c>
      <c r="B104">
        <f>LOOKUP(A104,'cluster stats'!$B$21:$B$35,'cluster stats'!$A$21:$A$35)</f>
        <v>52</v>
      </c>
      <c r="C104" t="str">
        <f>VLOOKUP(A104,'cluster stats'!$A$2:$B$16,2,FALSE)</f>
        <v>offshore demersal carnivores</v>
      </c>
      <c r="D104" t="s">
        <v>1016</v>
      </c>
      <c r="E104" t="s">
        <v>1014</v>
      </c>
      <c r="F104" t="s">
        <v>2385</v>
      </c>
      <c r="G104" t="s">
        <v>1005</v>
      </c>
      <c r="H104" t="s">
        <v>1009</v>
      </c>
      <c r="I104" t="s">
        <v>2467</v>
      </c>
      <c r="J104">
        <v>0.59699651647131902</v>
      </c>
      <c r="K104">
        <v>7.1225690833480995</v>
      </c>
      <c r="L104">
        <v>62.2126420679948</v>
      </c>
      <c r="M104">
        <v>4.1266666666666696</v>
      </c>
      <c r="N104">
        <v>48.54</v>
      </c>
      <c r="O104">
        <v>1.65</v>
      </c>
      <c r="P104">
        <v>0.8125</v>
      </c>
      <c r="Q104">
        <v>0.125</v>
      </c>
      <c r="R104">
        <v>0</v>
      </c>
      <c r="S104">
        <v>0</v>
      </c>
      <c r="T104">
        <v>0</v>
      </c>
      <c r="U104">
        <v>0</v>
      </c>
      <c r="V104">
        <v>6.25E-2</v>
      </c>
      <c r="W104">
        <v>0</v>
      </c>
      <c r="X104" t="s">
        <v>70</v>
      </c>
      <c r="Y104" t="s">
        <v>109</v>
      </c>
      <c r="Z104" t="s">
        <v>2385</v>
      </c>
      <c r="AA104">
        <v>1</v>
      </c>
      <c r="AB104">
        <v>1</v>
      </c>
      <c r="AC104">
        <v>1</v>
      </c>
      <c r="AD104">
        <v>1</v>
      </c>
    </row>
    <row r="105" spans="1:30" x14ac:dyDescent="0.25">
      <c r="A105">
        <v>13</v>
      </c>
      <c r="B105">
        <f>LOOKUP(A105,'cluster stats'!$B$21:$B$35,'cluster stats'!$A$21:$A$35)</f>
        <v>52</v>
      </c>
      <c r="C105" t="str">
        <f>VLOOKUP(A105,'cluster stats'!$A$2:$B$16,2,FALSE)</f>
        <v>offshore demersal carnivores</v>
      </c>
      <c r="D105" t="s">
        <v>406</v>
      </c>
      <c r="E105" t="s">
        <v>402</v>
      </c>
      <c r="F105" t="s">
        <v>2385</v>
      </c>
      <c r="G105" t="s">
        <v>399</v>
      </c>
      <c r="H105" t="s">
        <v>405</v>
      </c>
      <c r="I105" t="s">
        <v>2468</v>
      </c>
      <c r="J105">
        <v>0.140625</v>
      </c>
      <c r="K105">
        <v>3.1134678996344398</v>
      </c>
      <c r="L105">
        <v>128.10590350517001</v>
      </c>
      <c r="M105">
        <v>3.6033333333333299</v>
      </c>
      <c r="N105">
        <v>69.8</v>
      </c>
      <c r="O105">
        <v>1.2767500000000001</v>
      </c>
      <c r="P105">
        <v>0</v>
      </c>
      <c r="Q105">
        <v>0.21399999927252547</v>
      </c>
      <c r="R105">
        <v>2.8999999817162742E-2</v>
      </c>
      <c r="S105">
        <v>0</v>
      </c>
      <c r="T105">
        <v>0</v>
      </c>
      <c r="U105">
        <v>0</v>
      </c>
      <c r="V105">
        <v>0.75200000110626197</v>
      </c>
      <c r="W105">
        <v>4.999999804049738E-3</v>
      </c>
      <c r="X105" t="s">
        <v>70</v>
      </c>
      <c r="Y105" t="s">
        <v>109</v>
      </c>
      <c r="Z105" t="s">
        <v>2385</v>
      </c>
      <c r="AA105">
        <v>0</v>
      </c>
      <c r="AB105">
        <v>0</v>
      </c>
      <c r="AC105">
        <v>0</v>
      </c>
      <c r="AD105">
        <v>0</v>
      </c>
    </row>
    <row r="106" spans="1:30" x14ac:dyDescent="0.25">
      <c r="A106">
        <v>13</v>
      </c>
      <c r="B106">
        <f>LOOKUP(A106,'cluster stats'!$B$21:$B$35,'cluster stats'!$A$21:$A$35)</f>
        <v>52</v>
      </c>
      <c r="C106" t="str">
        <f>VLOOKUP(A106,'cluster stats'!$A$2:$B$16,2,FALSE)</f>
        <v>offshore demersal carnivores</v>
      </c>
      <c r="D106" t="s">
        <v>1037</v>
      </c>
      <c r="E106" t="s">
        <v>1034</v>
      </c>
      <c r="F106" t="s">
        <v>2385</v>
      </c>
      <c r="G106" t="s">
        <v>1028</v>
      </c>
      <c r="H106" t="s">
        <v>1036</v>
      </c>
      <c r="I106" t="s">
        <v>2469</v>
      </c>
      <c r="J106">
        <v>1.0964968978476799</v>
      </c>
      <c r="K106">
        <v>10.375748530616097</v>
      </c>
      <c r="L106">
        <v>24.2145478165186</v>
      </c>
      <c r="M106">
        <v>3.47</v>
      </c>
      <c r="N106">
        <v>39.880000000000003</v>
      </c>
      <c r="O106">
        <v>1.65</v>
      </c>
      <c r="P106">
        <v>8.800000159263606E-2</v>
      </c>
      <c r="Q106">
        <v>0.48099999851822889</v>
      </c>
      <c r="R106">
        <v>0</v>
      </c>
      <c r="S106">
        <v>0.11100000341773003</v>
      </c>
      <c r="T106">
        <v>0</v>
      </c>
      <c r="U106">
        <v>0</v>
      </c>
      <c r="V106">
        <v>0.31999999647140509</v>
      </c>
      <c r="W106">
        <v>0</v>
      </c>
      <c r="X106" t="s">
        <v>70</v>
      </c>
      <c r="Y106" t="s">
        <v>109</v>
      </c>
      <c r="Z106" t="s">
        <v>2385</v>
      </c>
      <c r="AA106">
        <v>1</v>
      </c>
      <c r="AB106">
        <v>0</v>
      </c>
      <c r="AC106">
        <v>0</v>
      </c>
      <c r="AD106">
        <v>0</v>
      </c>
    </row>
    <row r="107" spans="1:30" x14ac:dyDescent="0.25">
      <c r="A107">
        <v>13</v>
      </c>
      <c r="B107">
        <f>LOOKUP(A107,'cluster stats'!$B$21:$B$35,'cluster stats'!$A$21:$A$35)</f>
        <v>52</v>
      </c>
      <c r="C107" t="str">
        <f>VLOOKUP(A107,'cluster stats'!$A$2:$B$16,2,FALSE)</f>
        <v>offshore demersal carnivores</v>
      </c>
      <c r="D107" t="s">
        <v>1042</v>
      </c>
      <c r="E107" t="s">
        <v>1040</v>
      </c>
      <c r="F107" t="s">
        <v>2385</v>
      </c>
      <c r="G107" t="s">
        <v>1028</v>
      </c>
      <c r="H107" t="s">
        <v>1036</v>
      </c>
      <c r="I107" t="s">
        <v>2470</v>
      </c>
      <c r="J107">
        <v>0.90742832182453703</v>
      </c>
      <c r="K107">
        <v>8.6441367009579864</v>
      </c>
      <c r="L107">
        <v>32.482469766953699</v>
      </c>
      <c r="M107">
        <v>3.47</v>
      </c>
      <c r="N107">
        <v>50.88</v>
      </c>
      <c r="O107">
        <v>1.65</v>
      </c>
      <c r="P107">
        <v>8.800000159263606E-2</v>
      </c>
      <c r="Q107">
        <v>0.48099999851822889</v>
      </c>
      <c r="R107">
        <v>0</v>
      </c>
      <c r="S107">
        <v>0.11100000341773003</v>
      </c>
      <c r="T107">
        <v>0</v>
      </c>
      <c r="U107">
        <v>0</v>
      </c>
      <c r="V107">
        <v>0.31999999647140509</v>
      </c>
      <c r="W107">
        <v>0</v>
      </c>
      <c r="X107" t="s">
        <v>70</v>
      </c>
      <c r="Y107" t="s">
        <v>109</v>
      </c>
      <c r="Z107" t="s">
        <v>2385</v>
      </c>
      <c r="AA107">
        <v>1</v>
      </c>
      <c r="AB107">
        <v>0</v>
      </c>
      <c r="AC107">
        <v>0</v>
      </c>
      <c r="AD107">
        <v>0</v>
      </c>
    </row>
    <row r="108" spans="1:30" x14ac:dyDescent="0.25">
      <c r="A108">
        <v>13</v>
      </c>
      <c r="B108">
        <f>LOOKUP(A108,'cluster stats'!$B$21:$B$35,'cluster stats'!$A$21:$A$35)</f>
        <v>52</v>
      </c>
      <c r="C108" t="str">
        <f>VLOOKUP(A108,'cluster stats'!$A$2:$B$16,2,FALSE)</f>
        <v>offshore demersal carnivores</v>
      </c>
      <c r="D108" t="s">
        <v>937</v>
      </c>
      <c r="E108" t="s">
        <v>934</v>
      </c>
      <c r="F108" t="s">
        <v>2385</v>
      </c>
      <c r="G108" t="s">
        <v>471</v>
      </c>
      <c r="H108" t="s">
        <v>936</v>
      </c>
      <c r="I108" t="s">
        <v>2471</v>
      </c>
      <c r="J108">
        <v>0.53655942718963301</v>
      </c>
      <c r="K108">
        <v>4.8818379377926195</v>
      </c>
      <c r="L108">
        <v>73.421514891913304</v>
      </c>
      <c r="M108">
        <v>3.5300000095367401</v>
      </c>
      <c r="N108">
        <v>53.87</v>
      </c>
      <c r="O108">
        <v>1.475535</v>
      </c>
      <c r="P108">
        <v>0</v>
      </c>
      <c r="Q108">
        <v>0.91900000038042662</v>
      </c>
      <c r="R108">
        <v>0</v>
      </c>
      <c r="S108">
        <v>1.9999999961256947E-3</v>
      </c>
      <c r="T108">
        <v>0</v>
      </c>
      <c r="U108">
        <v>0</v>
      </c>
      <c r="V108">
        <v>0</v>
      </c>
      <c r="W108">
        <v>7.8999999623447614E-2</v>
      </c>
      <c r="X108" t="s">
        <v>70</v>
      </c>
      <c r="Y108" t="s">
        <v>109</v>
      </c>
      <c r="Z108" t="s">
        <v>2385</v>
      </c>
      <c r="AA108">
        <v>0</v>
      </c>
      <c r="AB108">
        <v>0</v>
      </c>
      <c r="AC108">
        <v>0</v>
      </c>
      <c r="AD108">
        <v>0</v>
      </c>
    </row>
    <row r="109" spans="1:30" x14ac:dyDescent="0.25">
      <c r="A109">
        <v>13</v>
      </c>
      <c r="B109">
        <f>LOOKUP(A109,'cluster stats'!$B$21:$B$35,'cluster stats'!$A$21:$A$35)</f>
        <v>52</v>
      </c>
      <c r="C109" t="str">
        <f>VLOOKUP(A109,'cluster stats'!$A$2:$B$16,2,FALSE)</f>
        <v>offshore demersal carnivores</v>
      </c>
      <c r="D109" t="s">
        <v>972</v>
      </c>
      <c r="E109" t="s">
        <v>969</v>
      </c>
      <c r="F109" t="s">
        <v>2385</v>
      </c>
      <c r="G109" t="s">
        <v>964</v>
      </c>
      <c r="H109" t="s">
        <v>971</v>
      </c>
      <c r="I109" t="s">
        <v>2472</v>
      </c>
      <c r="J109">
        <v>0.94662272132825498</v>
      </c>
      <c r="K109">
        <v>4.9590944117770448</v>
      </c>
      <c r="L109">
        <v>30.41906561995</v>
      </c>
      <c r="M109">
        <v>4.3449999999999998</v>
      </c>
      <c r="N109">
        <v>36.82</v>
      </c>
      <c r="O109">
        <v>0.40723599999999999</v>
      </c>
      <c r="P109">
        <v>0.68899999582022387</v>
      </c>
      <c r="Q109">
        <v>6.2999998159706611E-2</v>
      </c>
      <c r="R109">
        <v>0</v>
      </c>
      <c r="S109">
        <v>0</v>
      </c>
      <c r="T109">
        <v>0</v>
      </c>
      <c r="U109">
        <v>0</v>
      </c>
      <c r="V109">
        <v>0.23200000590086017</v>
      </c>
      <c r="W109">
        <v>1.6000000119209302E-2</v>
      </c>
      <c r="X109" t="s">
        <v>70</v>
      </c>
      <c r="Y109" t="s">
        <v>109</v>
      </c>
      <c r="Z109" t="s">
        <v>2385</v>
      </c>
      <c r="AA109">
        <v>1</v>
      </c>
      <c r="AB109">
        <v>0</v>
      </c>
      <c r="AC109">
        <v>0</v>
      </c>
      <c r="AD109">
        <v>0</v>
      </c>
    </row>
    <row r="110" spans="1:30" x14ac:dyDescent="0.25">
      <c r="A110">
        <v>13</v>
      </c>
      <c r="B110">
        <f>LOOKUP(A110,'cluster stats'!$B$21:$B$35,'cluster stats'!$A$21:$A$35)</f>
        <v>52</v>
      </c>
      <c r="C110" t="str">
        <f>VLOOKUP(A110,'cluster stats'!$A$2:$B$16,2,FALSE)</f>
        <v>offshore demersal carnivores</v>
      </c>
      <c r="D110" t="s">
        <v>1169</v>
      </c>
      <c r="E110" t="s">
        <v>1165</v>
      </c>
      <c r="F110" t="s">
        <v>2385</v>
      </c>
      <c r="G110" t="s">
        <v>1167</v>
      </c>
      <c r="H110" t="s">
        <v>1168</v>
      </c>
      <c r="I110" t="s">
        <v>2473</v>
      </c>
      <c r="J110">
        <v>1.0400324152168099</v>
      </c>
      <c r="K110">
        <v>9.2174960693146666</v>
      </c>
      <c r="L110">
        <v>26.285289375079898</v>
      </c>
      <c r="M110">
        <v>3.7349999999999999</v>
      </c>
      <c r="N110">
        <v>31.66</v>
      </c>
      <c r="O110">
        <v>1.65</v>
      </c>
      <c r="P110">
        <v>3.2012804427695462E-3</v>
      </c>
      <c r="Q110">
        <v>0.22899159068426148</v>
      </c>
      <c r="R110">
        <v>0</v>
      </c>
      <c r="S110">
        <v>0</v>
      </c>
      <c r="T110">
        <v>0</v>
      </c>
      <c r="U110">
        <v>0</v>
      </c>
      <c r="V110">
        <v>0.15466186120496397</v>
      </c>
      <c r="W110">
        <v>0.61314526766800503</v>
      </c>
      <c r="X110" t="s">
        <v>70</v>
      </c>
      <c r="Y110" t="s">
        <v>109</v>
      </c>
      <c r="Z110" t="s">
        <v>2385</v>
      </c>
      <c r="AA110">
        <v>0</v>
      </c>
      <c r="AB110">
        <v>0</v>
      </c>
      <c r="AC110">
        <v>0</v>
      </c>
      <c r="AD110">
        <v>0</v>
      </c>
    </row>
    <row r="111" spans="1:30" x14ac:dyDescent="0.25">
      <c r="A111">
        <v>13</v>
      </c>
      <c r="B111">
        <f>LOOKUP(A111,'cluster stats'!$B$21:$B$35,'cluster stats'!$A$21:$A$35)</f>
        <v>52</v>
      </c>
      <c r="C111" t="str">
        <f>VLOOKUP(A111,'cluster stats'!$A$2:$B$16,2,FALSE)</f>
        <v>offshore demersal carnivores</v>
      </c>
      <c r="D111" t="s">
        <v>1172</v>
      </c>
      <c r="E111" t="s">
        <v>1170</v>
      </c>
      <c r="F111" t="s">
        <v>2385</v>
      </c>
      <c r="G111" t="s">
        <v>1167</v>
      </c>
      <c r="H111" t="s">
        <v>1168</v>
      </c>
      <c r="I111" t="s">
        <v>2474</v>
      </c>
      <c r="J111">
        <v>1.30395719550086</v>
      </c>
      <c r="K111">
        <v>11.436319452125389</v>
      </c>
      <c r="L111">
        <v>18.504346140639701</v>
      </c>
      <c r="M111">
        <v>3.5249999999999999</v>
      </c>
      <c r="N111">
        <v>25.85</v>
      </c>
      <c r="O111">
        <v>1.65</v>
      </c>
      <c r="P111">
        <v>1.0668088842446474E-3</v>
      </c>
      <c r="Q111">
        <v>0.74306574022806526</v>
      </c>
      <c r="R111">
        <v>0</v>
      </c>
      <c r="S111">
        <v>0</v>
      </c>
      <c r="T111">
        <v>0</v>
      </c>
      <c r="U111">
        <v>0</v>
      </c>
      <c r="V111">
        <v>5.1540204157972884E-2</v>
      </c>
      <c r="W111">
        <v>0.20432724672971711</v>
      </c>
      <c r="X111" t="s">
        <v>70</v>
      </c>
      <c r="Y111" t="s">
        <v>109</v>
      </c>
      <c r="Z111" t="s">
        <v>2385</v>
      </c>
      <c r="AA111">
        <v>0</v>
      </c>
      <c r="AB111">
        <v>0</v>
      </c>
      <c r="AC111">
        <v>0</v>
      </c>
      <c r="AD111">
        <v>0</v>
      </c>
    </row>
    <row r="112" spans="1:30" x14ac:dyDescent="0.25">
      <c r="A112">
        <v>13</v>
      </c>
      <c r="B112">
        <f>LOOKUP(A112,'cluster stats'!$B$21:$B$35,'cluster stats'!$A$21:$A$35)</f>
        <v>52</v>
      </c>
      <c r="C112" t="str">
        <f>VLOOKUP(A112,'cluster stats'!$A$2:$B$16,2,FALSE)</f>
        <v>offshore demersal carnivores</v>
      </c>
      <c r="D112" t="s">
        <v>1175</v>
      </c>
      <c r="E112" t="s">
        <v>1173</v>
      </c>
      <c r="F112" t="s">
        <v>2385</v>
      </c>
      <c r="G112" t="s">
        <v>1167</v>
      </c>
      <c r="H112" t="s">
        <v>1168</v>
      </c>
      <c r="I112" t="s">
        <v>2475</v>
      </c>
      <c r="J112">
        <v>0.84022107703738802</v>
      </c>
      <c r="K112">
        <v>7.5204878154082166</v>
      </c>
      <c r="L112">
        <v>36.603057362149499</v>
      </c>
      <c r="M112">
        <v>3.5249999999999999</v>
      </c>
      <c r="N112">
        <v>37.270000000000003</v>
      </c>
      <c r="O112">
        <v>1.65</v>
      </c>
      <c r="P112">
        <v>1.0668088842446474E-3</v>
      </c>
      <c r="Q112">
        <v>0.74306574022806526</v>
      </c>
      <c r="R112">
        <v>0</v>
      </c>
      <c r="S112">
        <v>0</v>
      </c>
      <c r="T112">
        <v>0</v>
      </c>
      <c r="U112">
        <v>0</v>
      </c>
      <c r="V112">
        <v>5.1540204157972884E-2</v>
      </c>
      <c r="W112">
        <v>0.20432724672971711</v>
      </c>
      <c r="X112" t="s">
        <v>70</v>
      </c>
      <c r="Y112" t="s">
        <v>109</v>
      </c>
      <c r="Z112" t="s">
        <v>2385</v>
      </c>
      <c r="AA112">
        <v>0</v>
      </c>
      <c r="AB112">
        <v>0</v>
      </c>
      <c r="AC112">
        <v>0</v>
      </c>
      <c r="AD112">
        <v>0</v>
      </c>
    </row>
    <row r="113" spans="1:30" x14ac:dyDescent="0.25">
      <c r="A113">
        <v>13</v>
      </c>
      <c r="B113">
        <f>LOOKUP(A113,'cluster stats'!$B$21:$B$35,'cluster stats'!$A$21:$A$35)</f>
        <v>52</v>
      </c>
      <c r="C113" t="str">
        <f>VLOOKUP(A113,'cluster stats'!$A$2:$B$16,2,FALSE)</f>
        <v>offshore demersal carnivores</v>
      </c>
      <c r="D113" t="s">
        <v>1141</v>
      </c>
      <c r="E113" t="s">
        <v>1136</v>
      </c>
      <c r="F113" t="s">
        <v>2385</v>
      </c>
      <c r="G113" t="s">
        <v>1139</v>
      </c>
      <c r="H113" t="s">
        <v>1140</v>
      </c>
      <c r="I113" t="s">
        <v>2419</v>
      </c>
      <c r="J113">
        <v>1.0400324152168099</v>
      </c>
      <c r="K113">
        <v>10.982359364517201</v>
      </c>
      <c r="L113">
        <v>26.285289375079898</v>
      </c>
      <c r="M113">
        <v>4.2</v>
      </c>
      <c r="N113">
        <v>18.940000000000001</v>
      </c>
      <c r="O113">
        <v>1.58273</v>
      </c>
      <c r="P113">
        <v>0.90649999877914789</v>
      </c>
      <c r="Q113">
        <v>8.9300001428335857E-2</v>
      </c>
      <c r="R113">
        <v>4.1999997925162335E-3</v>
      </c>
      <c r="S113">
        <v>0</v>
      </c>
      <c r="T113">
        <v>0</v>
      </c>
      <c r="U113">
        <v>0</v>
      </c>
      <c r="V113">
        <v>0</v>
      </c>
      <c r="W113">
        <v>0</v>
      </c>
      <c r="X113" t="s">
        <v>70</v>
      </c>
      <c r="Y113" t="s">
        <v>109</v>
      </c>
      <c r="Z113" t="s">
        <v>2385</v>
      </c>
      <c r="AA113">
        <v>0</v>
      </c>
      <c r="AB113">
        <v>0</v>
      </c>
      <c r="AC113">
        <v>0</v>
      </c>
      <c r="AD113">
        <v>0</v>
      </c>
    </row>
    <row r="114" spans="1:30" x14ac:dyDescent="0.25">
      <c r="A114">
        <v>13</v>
      </c>
      <c r="B114">
        <f>LOOKUP(A114,'cluster stats'!$B$21:$B$35,'cluster stats'!$A$21:$A$35)</f>
        <v>52</v>
      </c>
      <c r="C114" t="str">
        <f>VLOOKUP(A114,'cluster stats'!$A$2:$B$16,2,FALSE)</f>
        <v>offshore demersal carnivores</v>
      </c>
      <c r="D114" t="s">
        <v>1109</v>
      </c>
      <c r="E114" t="s">
        <v>1107</v>
      </c>
      <c r="F114" t="s">
        <v>2385</v>
      </c>
      <c r="G114" t="s">
        <v>408</v>
      </c>
      <c r="H114" t="s">
        <v>480</v>
      </c>
      <c r="I114" t="s">
        <v>2476</v>
      </c>
      <c r="J114">
        <v>1.1981004043474499</v>
      </c>
      <c r="K114">
        <v>7.5085367685437792</v>
      </c>
      <c r="L114">
        <v>21.1029718069605</v>
      </c>
      <c r="M114">
        <v>3.7744444444444398</v>
      </c>
      <c r="N114">
        <v>33.869999999999997</v>
      </c>
      <c r="O114">
        <v>0.86352833333333301</v>
      </c>
      <c r="P114">
        <v>4.8666666430864189E-2</v>
      </c>
      <c r="Q114">
        <v>0.7949666667132359</v>
      </c>
      <c r="R114">
        <v>3.18333333730118E-2</v>
      </c>
      <c r="S114">
        <v>0</v>
      </c>
      <c r="T114">
        <v>0</v>
      </c>
      <c r="U114">
        <v>0</v>
      </c>
      <c r="V114">
        <v>5.4200000195036416E-2</v>
      </c>
      <c r="W114">
        <v>7.0333333287851574E-2</v>
      </c>
      <c r="X114" t="s">
        <v>70</v>
      </c>
      <c r="Y114" t="s">
        <v>109</v>
      </c>
      <c r="Z114" t="s">
        <v>2385</v>
      </c>
      <c r="AA114">
        <v>0</v>
      </c>
      <c r="AB114">
        <v>0</v>
      </c>
      <c r="AC114">
        <v>1</v>
      </c>
      <c r="AD114">
        <v>1</v>
      </c>
    </row>
    <row r="115" spans="1:30" x14ac:dyDescent="0.25">
      <c r="A115">
        <v>13</v>
      </c>
      <c r="B115">
        <f>LOOKUP(A115,'cluster stats'!$B$21:$B$35,'cluster stats'!$A$21:$A$35)</f>
        <v>52</v>
      </c>
      <c r="C115" t="str">
        <f>VLOOKUP(A115,'cluster stats'!$A$2:$B$16,2,FALSE)</f>
        <v>offshore demersal carnivores</v>
      </c>
      <c r="D115" t="s">
        <v>707</v>
      </c>
      <c r="E115" t="s">
        <v>704</v>
      </c>
      <c r="F115" t="s">
        <v>2385</v>
      </c>
      <c r="G115" t="s">
        <v>337</v>
      </c>
      <c r="H115" t="s">
        <v>706</v>
      </c>
      <c r="I115" t="s">
        <v>2477</v>
      </c>
      <c r="J115">
        <v>1.58284504425183</v>
      </c>
      <c r="K115">
        <v>12.73878379094295</v>
      </c>
      <c r="L115">
        <v>10.6684174234025</v>
      </c>
      <c r="M115">
        <v>3.5416666666666701</v>
      </c>
      <c r="N115">
        <v>23.77</v>
      </c>
      <c r="O115">
        <v>0.97384800000000005</v>
      </c>
      <c r="P115">
        <v>0</v>
      </c>
      <c r="Q115">
        <v>0</v>
      </c>
      <c r="R115">
        <v>0</v>
      </c>
      <c r="S115">
        <v>0</v>
      </c>
      <c r="T115">
        <v>0</v>
      </c>
      <c r="U115">
        <v>0</v>
      </c>
      <c r="V115">
        <v>0</v>
      </c>
      <c r="W115">
        <v>1</v>
      </c>
      <c r="X115" t="s">
        <v>70</v>
      </c>
      <c r="Y115" t="s">
        <v>109</v>
      </c>
      <c r="Z115" t="s">
        <v>2385</v>
      </c>
      <c r="AA115">
        <v>1</v>
      </c>
      <c r="AB115">
        <v>1</v>
      </c>
      <c r="AC115">
        <v>1</v>
      </c>
      <c r="AD115">
        <v>0</v>
      </c>
    </row>
    <row r="116" spans="1:30" x14ac:dyDescent="0.25">
      <c r="A116">
        <v>13</v>
      </c>
      <c r="B116">
        <f>LOOKUP(A116,'cluster stats'!$B$21:$B$35,'cluster stats'!$A$21:$A$35)</f>
        <v>52</v>
      </c>
      <c r="C116" t="str">
        <f>VLOOKUP(A116,'cluster stats'!$A$2:$B$16,2,FALSE)</f>
        <v>offshore demersal carnivores</v>
      </c>
      <c r="D116" t="s">
        <v>1160</v>
      </c>
      <c r="E116" t="s">
        <v>1158</v>
      </c>
      <c r="F116" t="s">
        <v>2385</v>
      </c>
      <c r="G116" t="s">
        <v>723</v>
      </c>
      <c r="H116" t="s">
        <v>728</v>
      </c>
      <c r="I116" t="s">
        <v>2478</v>
      </c>
      <c r="J116">
        <v>1.1981004043474499</v>
      </c>
      <c r="K116">
        <v>12.372350152646149</v>
      </c>
      <c r="L116">
        <v>21.1029718069605</v>
      </c>
      <c r="M116">
        <v>3.2005555555555598</v>
      </c>
      <c r="N116">
        <v>16.489999999999998</v>
      </c>
      <c r="O116">
        <v>1.697195</v>
      </c>
      <c r="P116">
        <v>5.365416731257398E-3</v>
      </c>
      <c r="Q116">
        <v>0.17330382205204226</v>
      </c>
      <c r="R116">
        <v>0.18245861773336414</v>
      </c>
      <c r="S116">
        <v>6.7683483216253101E-2</v>
      </c>
      <c r="T116">
        <v>0</v>
      </c>
      <c r="U116">
        <v>0</v>
      </c>
      <c r="V116">
        <v>0.3989441429370385</v>
      </c>
      <c r="W116">
        <v>0.17224451733004462</v>
      </c>
      <c r="X116" t="s">
        <v>70</v>
      </c>
      <c r="Y116" t="s">
        <v>109</v>
      </c>
      <c r="Z116" t="s">
        <v>2385</v>
      </c>
      <c r="AA116">
        <v>0</v>
      </c>
      <c r="AB116">
        <v>0</v>
      </c>
      <c r="AC116">
        <v>1</v>
      </c>
      <c r="AD116">
        <v>1</v>
      </c>
    </row>
    <row r="117" spans="1:30" x14ac:dyDescent="0.25">
      <c r="A117">
        <v>13</v>
      </c>
      <c r="B117">
        <f>LOOKUP(A117,'cluster stats'!$B$21:$B$35,'cluster stats'!$A$21:$A$35)</f>
        <v>52</v>
      </c>
      <c r="C117" t="str">
        <f>VLOOKUP(A117,'cluster stats'!$A$2:$B$16,2,FALSE)</f>
        <v>offshore demersal carnivores</v>
      </c>
      <c r="D117" t="s">
        <v>1123</v>
      </c>
      <c r="E117" t="s">
        <v>1120</v>
      </c>
      <c r="F117" t="s">
        <v>2385</v>
      </c>
      <c r="G117" t="s">
        <v>428</v>
      </c>
      <c r="H117" t="s">
        <v>1122</v>
      </c>
      <c r="I117" t="s">
        <v>2479</v>
      </c>
      <c r="J117">
        <v>1.631698129224</v>
      </c>
      <c r="K117">
        <v>12.039309362494901</v>
      </c>
      <c r="L117">
        <v>31.4510411455501</v>
      </c>
      <c r="M117">
        <v>3.2450000000000001</v>
      </c>
      <c r="N117">
        <v>20.52</v>
      </c>
      <c r="O117">
        <v>2.1459299999999999</v>
      </c>
      <c r="P117">
        <v>2.1586023076659553E-2</v>
      </c>
      <c r="Q117">
        <v>0.20063143976137024</v>
      </c>
      <c r="R117">
        <v>0.32660466369847108</v>
      </c>
      <c r="S117">
        <v>0</v>
      </c>
      <c r="T117">
        <v>0</v>
      </c>
      <c r="U117">
        <v>1.0000142755270983E-3</v>
      </c>
      <c r="V117">
        <v>0.44246346317636959</v>
      </c>
      <c r="W117">
        <v>7.7143960116024405E-3</v>
      </c>
      <c r="X117" t="s">
        <v>70</v>
      </c>
      <c r="Y117" t="s">
        <v>109</v>
      </c>
      <c r="Z117" t="s">
        <v>2385</v>
      </c>
      <c r="AA117">
        <v>0</v>
      </c>
      <c r="AB117">
        <v>0</v>
      </c>
      <c r="AC117">
        <v>0</v>
      </c>
      <c r="AD117">
        <v>0</v>
      </c>
    </row>
    <row r="118" spans="1:30" x14ac:dyDescent="0.25">
      <c r="A118">
        <v>13</v>
      </c>
      <c r="B118">
        <f>LOOKUP(A118,'cluster stats'!$B$21:$B$35,'cluster stats'!$A$21:$A$35)</f>
        <v>52</v>
      </c>
      <c r="C118" t="str">
        <f>VLOOKUP(A118,'cluster stats'!$A$2:$B$16,2,FALSE)</f>
        <v>offshore demersal carnivores</v>
      </c>
      <c r="D118" t="s">
        <v>1135</v>
      </c>
      <c r="E118" t="s">
        <v>1132</v>
      </c>
      <c r="F118" t="s">
        <v>2385</v>
      </c>
      <c r="G118" t="s">
        <v>1127</v>
      </c>
      <c r="H118" t="s">
        <v>1134</v>
      </c>
      <c r="I118" t="s">
        <v>2480</v>
      </c>
      <c r="J118">
        <v>1.0144877113081701</v>
      </c>
      <c r="K118">
        <v>10.445065746939898</v>
      </c>
      <c r="L118">
        <v>27.319658842430499</v>
      </c>
      <c r="M118">
        <v>3.395</v>
      </c>
      <c r="N118">
        <v>21</v>
      </c>
      <c r="O118">
        <v>1.65</v>
      </c>
      <c r="P118">
        <v>3.4877876830948867E-2</v>
      </c>
      <c r="Q118">
        <v>0.81847422117133095</v>
      </c>
      <c r="R118">
        <v>0</v>
      </c>
      <c r="S118">
        <v>0</v>
      </c>
      <c r="T118">
        <v>0</v>
      </c>
      <c r="U118">
        <v>0</v>
      </c>
      <c r="V118">
        <v>6.1312695073181024E-3</v>
      </c>
      <c r="W118">
        <v>0.14051663249040208</v>
      </c>
      <c r="X118" t="s">
        <v>70</v>
      </c>
      <c r="Y118" t="s">
        <v>109</v>
      </c>
      <c r="Z118" t="s">
        <v>2385</v>
      </c>
      <c r="AA118">
        <v>0</v>
      </c>
      <c r="AB118">
        <v>0</v>
      </c>
      <c r="AC118">
        <v>0</v>
      </c>
      <c r="AD118">
        <v>0</v>
      </c>
    </row>
    <row r="119" spans="1:30" x14ac:dyDescent="0.25">
      <c r="A119">
        <v>13</v>
      </c>
      <c r="B119">
        <f>LOOKUP(A119,'cluster stats'!$B$21:$B$35,'cluster stats'!$A$21:$A$35)</f>
        <v>52</v>
      </c>
      <c r="C119" t="str">
        <f>VLOOKUP(A119,'cluster stats'!$A$2:$B$16,2,FALSE)</f>
        <v>offshore demersal carnivores</v>
      </c>
      <c r="D119" t="s">
        <v>997</v>
      </c>
      <c r="E119" t="s">
        <v>991</v>
      </c>
      <c r="F119" t="s">
        <v>2385</v>
      </c>
      <c r="G119" t="s">
        <v>1105</v>
      </c>
      <c r="H119" t="s">
        <v>996</v>
      </c>
      <c r="I119" t="s">
        <v>2481</v>
      </c>
      <c r="J119">
        <v>0.58207464249032403</v>
      </c>
      <c r="K119">
        <v>4.4716493998849298</v>
      </c>
      <c r="L119">
        <v>68.330277893704505</v>
      </c>
      <c r="M119">
        <v>3.89</v>
      </c>
      <c r="N119">
        <v>55.5</v>
      </c>
      <c r="O119">
        <v>0.86119100000000004</v>
      </c>
      <c r="P119">
        <v>0.20483333210236052</v>
      </c>
      <c r="Q119">
        <v>0.60066666758860143</v>
      </c>
      <c r="R119">
        <v>3.8833332743657183E-2</v>
      </c>
      <c r="S119">
        <v>0</v>
      </c>
      <c r="T119">
        <v>1.9166666610973625E-2</v>
      </c>
      <c r="U119">
        <v>0</v>
      </c>
      <c r="V119">
        <v>0.13650000095440723</v>
      </c>
      <c r="W119">
        <v>0</v>
      </c>
      <c r="X119" t="s">
        <v>70</v>
      </c>
      <c r="Y119" t="s">
        <v>109</v>
      </c>
      <c r="Z119" t="s">
        <v>2385</v>
      </c>
      <c r="AA119">
        <v>1</v>
      </c>
      <c r="AB119">
        <v>0</v>
      </c>
      <c r="AC119">
        <v>0</v>
      </c>
      <c r="AD119">
        <v>0</v>
      </c>
    </row>
    <row r="120" spans="1:30" x14ac:dyDescent="0.25">
      <c r="A120">
        <v>13</v>
      </c>
      <c r="B120">
        <f>LOOKUP(A120,'cluster stats'!$B$21:$B$35,'cluster stats'!$A$21:$A$35)</f>
        <v>52</v>
      </c>
      <c r="C120" t="str">
        <f>VLOOKUP(A120,'cluster stats'!$A$2:$B$16,2,FALSE)</f>
        <v>offshore demersal carnivores</v>
      </c>
      <c r="D120" t="s">
        <v>1001</v>
      </c>
      <c r="E120" t="s">
        <v>998</v>
      </c>
      <c r="F120" t="s">
        <v>2385</v>
      </c>
      <c r="G120" t="s">
        <v>1105</v>
      </c>
      <c r="H120" t="s">
        <v>996</v>
      </c>
      <c r="I120" t="s">
        <v>2482</v>
      </c>
      <c r="J120">
        <v>0.84022107703738802</v>
      </c>
      <c r="K120">
        <v>6.1872148347750748</v>
      </c>
      <c r="L120">
        <v>36.603057362149499</v>
      </c>
      <c r="M120">
        <v>3.69</v>
      </c>
      <c r="N120">
        <v>34.24</v>
      </c>
      <c r="O120">
        <v>0.59073399999999998</v>
      </c>
      <c r="P120">
        <v>0.20483333210236052</v>
      </c>
      <c r="Q120">
        <v>0.60066666758860143</v>
      </c>
      <c r="R120">
        <v>3.8833332743657183E-2</v>
      </c>
      <c r="S120">
        <v>0</v>
      </c>
      <c r="T120">
        <v>1.9166666610973625E-2</v>
      </c>
      <c r="U120">
        <v>0</v>
      </c>
      <c r="V120">
        <v>0.13650000095440723</v>
      </c>
      <c r="W120">
        <v>0</v>
      </c>
      <c r="X120" t="s">
        <v>70</v>
      </c>
      <c r="Y120" t="s">
        <v>109</v>
      </c>
      <c r="Z120" t="s">
        <v>2385</v>
      </c>
      <c r="AA120">
        <v>0</v>
      </c>
      <c r="AB120">
        <v>0</v>
      </c>
      <c r="AC120">
        <v>0</v>
      </c>
      <c r="AD120">
        <v>0</v>
      </c>
    </row>
    <row r="121" spans="1:30" x14ac:dyDescent="0.25">
      <c r="A121">
        <v>15</v>
      </c>
      <c r="B121">
        <f>LOOKUP(A121,'cluster stats'!$B$21:$B$35,'cluster stats'!$A$21:$A$35)</f>
        <v>53</v>
      </c>
      <c r="C121" t="str">
        <f>VLOOKUP(A121,'cluster stats'!$A$2:$B$16,2,FALSE)</f>
        <v>nearshore demersal carnivores</v>
      </c>
      <c r="D121" t="s">
        <v>1197</v>
      </c>
      <c r="E121" t="s">
        <v>1194</v>
      </c>
      <c r="F121" t="s">
        <v>2385</v>
      </c>
      <c r="G121" t="s">
        <v>1187</v>
      </c>
      <c r="H121" t="s">
        <v>1196</v>
      </c>
      <c r="I121" t="s">
        <v>2483</v>
      </c>
      <c r="J121">
        <v>0.54636892364059197</v>
      </c>
      <c r="K121">
        <v>6.5164139313805105</v>
      </c>
      <c r="L121">
        <v>71.385727561392102</v>
      </c>
      <c r="M121">
        <v>3.5566666666666702</v>
      </c>
      <c r="N121">
        <v>56.45</v>
      </c>
      <c r="O121">
        <v>2.4799899999999999</v>
      </c>
      <c r="P121">
        <v>0.16820000471407193</v>
      </c>
      <c r="Q121">
        <v>0.58079999842143082</v>
      </c>
      <c r="R121">
        <v>0.17509999858376346</v>
      </c>
      <c r="S121">
        <v>7.5000001393258481E-4</v>
      </c>
      <c r="T121">
        <v>0</v>
      </c>
      <c r="U121">
        <v>0</v>
      </c>
      <c r="V121">
        <v>6.6949998511835904E-2</v>
      </c>
      <c r="W121">
        <v>8.199999754965312E-3</v>
      </c>
      <c r="X121" t="s">
        <v>50</v>
      </c>
      <c r="Y121" t="s">
        <v>109</v>
      </c>
      <c r="Z121" t="s">
        <v>2385</v>
      </c>
      <c r="AA121">
        <v>0</v>
      </c>
      <c r="AB121">
        <v>0</v>
      </c>
      <c r="AC121">
        <v>0</v>
      </c>
      <c r="AD121">
        <v>0</v>
      </c>
    </row>
    <row r="122" spans="1:30" x14ac:dyDescent="0.25">
      <c r="A122">
        <v>15</v>
      </c>
      <c r="B122">
        <f>LOOKUP(A122,'cluster stats'!$B$21:$B$35,'cluster stats'!$A$21:$A$35)</f>
        <v>53</v>
      </c>
      <c r="C122" t="str">
        <f>VLOOKUP(A122,'cluster stats'!$A$2:$B$16,2,FALSE)</f>
        <v>nearshore demersal carnivores</v>
      </c>
      <c r="D122" t="s">
        <v>1227</v>
      </c>
      <c r="E122" t="s">
        <v>1224</v>
      </c>
      <c r="F122" t="s">
        <v>2385</v>
      </c>
      <c r="G122" t="s">
        <v>559</v>
      </c>
      <c r="H122" t="s">
        <v>1226</v>
      </c>
      <c r="I122" t="s">
        <v>2484</v>
      </c>
      <c r="J122">
        <v>4.5824999999999996</v>
      </c>
      <c r="K122">
        <v>11.41080844106725</v>
      </c>
      <c r="L122">
        <v>16.3</v>
      </c>
      <c r="M122">
        <v>3.2</v>
      </c>
      <c r="N122">
        <v>20.52</v>
      </c>
      <c r="O122">
        <v>1.56165</v>
      </c>
      <c r="P122">
        <v>0.36749999700300384</v>
      </c>
      <c r="Q122">
        <v>0.25699999998584394</v>
      </c>
      <c r="R122">
        <v>1.8499999970570166E-2</v>
      </c>
      <c r="S122">
        <v>1.8750000181607905E-2</v>
      </c>
      <c r="T122">
        <v>0</v>
      </c>
      <c r="U122">
        <v>0</v>
      </c>
      <c r="V122">
        <v>4.1999999989569207E-2</v>
      </c>
      <c r="W122">
        <v>0.29625000286940489</v>
      </c>
      <c r="X122" t="s">
        <v>50</v>
      </c>
      <c r="Y122" t="s">
        <v>109</v>
      </c>
      <c r="Z122" t="s">
        <v>2385</v>
      </c>
      <c r="AA122">
        <v>0</v>
      </c>
      <c r="AB122">
        <v>0</v>
      </c>
      <c r="AC122">
        <v>1</v>
      </c>
      <c r="AD122">
        <v>0</v>
      </c>
    </row>
    <row r="123" spans="1:30" x14ac:dyDescent="0.25">
      <c r="A123">
        <v>15</v>
      </c>
      <c r="B123">
        <f>LOOKUP(A123,'cluster stats'!$B$21:$B$35,'cluster stats'!$A$21:$A$35)</f>
        <v>53</v>
      </c>
      <c r="C123" t="str">
        <f>VLOOKUP(A123,'cluster stats'!$A$2:$B$16,2,FALSE)</f>
        <v>nearshore demersal carnivores</v>
      </c>
      <c r="D123" t="s">
        <v>1230</v>
      </c>
      <c r="E123" t="s">
        <v>1228</v>
      </c>
      <c r="F123" t="s">
        <v>2385</v>
      </c>
      <c r="G123" t="s">
        <v>559</v>
      </c>
      <c r="H123" t="s">
        <v>953</v>
      </c>
      <c r="I123" t="s">
        <v>2485</v>
      </c>
      <c r="J123">
        <v>0.952852583860469</v>
      </c>
      <c r="K123">
        <v>4.3367321081041101</v>
      </c>
      <c r="L123">
        <v>65.782386194734599</v>
      </c>
      <c r="M123">
        <v>4.4550000000000001</v>
      </c>
      <c r="N123">
        <v>36.25</v>
      </c>
      <c r="O123">
        <v>1.1700999999999999</v>
      </c>
      <c r="P123">
        <v>0.44284999730239655</v>
      </c>
      <c r="Q123">
        <v>0.2394666652059225</v>
      </c>
      <c r="R123">
        <v>1.3333333095742589E-2</v>
      </c>
      <c r="S123">
        <v>0</v>
      </c>
      <c r="T123">
        <v>7.9333331149775102E-2</v>
      </c>
      <c r="U123">
        <v>0</v>
      </c>
      <c r="V123">
        <v>2.2000000191604075E-2</v>
      </c>
      <c r="W123">
        <v>0.2030166730545592</v>
      </c>
      <c r="X123" t="s">
        <v>50</v>
      </c>
      <c r="Y123" t="s">
        <v>109</v>
      </c>
      <c r="Z123" t="s">
        <v>2385</v>
      </c>
      <c r="AA123">
        <v>1</v>
      </c>
      <c r="AB123">
        <v>0</v>
      </c>
      <c r="AC123">
        <v>0</v>
      </c>
      <c r="AD123">
        <v>0</v>
      </c>
    </row>
    <row r="124" spans="1:30" x14ac:dyDescent="0.25">
      <c r="A124">
        <v>15</v>
      </c>
      <c r="B124">
        <f>LOOKUP(A124,'cluster stats'!$B$21:$B$35,'cluster stats'!$A$21:$A$35)</f>
        <v>53</v>
      </c>
      <c r="C124" t="str">
        <f>VLOOKUP(A124,'cluster stats'!$A$2:$B$16,2,FALSE)</f>
        <v>nearshore demersal carnivores</v>
      </c>
      <c r="D124" t="s">
        <v>954</v>
      </c>
      <c r="E124" t="s">
        <v>951</v>
      </c>
      <c r="F124" t="s">
        <v>2385</v>
      </c>
      <c r="G124" t="s">
        <v>559</v>
      </c>
      <c r="H124" t="s">
        <v>953</v>
      </c>
      <c r="I124" t="s">
        <v>2486</v>
      </c>
      <c r="J124">
        <v>0.42266864999999998</v>
      </c>
      <c r="K124">
        <v>5.0379908036760046</v>
      </c>
      <c r="L124">
        <v>69.966666666666697</v>
      </c>
      <c r="M124">
        <v>3.98</v>
      </c>
      <c r="N124">
        <v>58.44</v>
      </c>
      <c r="O124">
        <v>1.4803500000000001</v>
      </c>
      <c r="P124">
        <v>0.24901244482906604</v>
      </c>
      <c r="Q124">
        <v>0.57332867735792603</v>
      </c>
      <c r="R124">
        <v>0</v>
      </c>
      <c r="S124">
        <v>3.4501725288975112E-2</v>
      </c>
      <c r="T124">
        <v>0</v>
      </c>
      <c r="U124">
        <v>0</v>
      </c>
      <c r="V124">
        <v>0</v>
      </c>
      <c r="W124">
        <v>0.1431571525240328</v>
      </c>
      <c r="X124" t="s">
        <v>50</v>
      </c>
      <c r="Y124" t="s">
        <v>109</v>
      </c>
      <c r="Z124" t="s">
        <v>2385</v>
      </c>
      <c r="AA124">
        <v>1</v>
      </c>
      <c r="AB124">
        <v>0</v>
      </c>
      <c r="AC124">
        <v>1</v>
      </c>
      <c r="AD124">
        <v>1</v>
      </c>
    </row>
    <row r="125" spans="1:30" x14ac:dyDescent="0.25">
      <c r="A125">
        <v>15</v>
      </c>
      <c r="B125">
        <f>LOOKUP(A125,'cluster stats'!$B$21:$B$35,'cluster stats'!$A$21:$A$35)</f>
        <v>53</v>
      </c>
      <c r="C125" t="str">
        <f>VLOOKUP(A125,'cluster stats'!$A$2:$B$16,2,FALSE)</f>
        <v>nearshore demersal carnivores</v>
      </c>
      <c r="D125" t="s">
        <v>1355</v>
      </c>
      <c r="E125" t="s">
        <v>1352</v>
      </c>
      <c r="F125" t="s">
        <v>2385</v>
      </c>
      <c r="G125" t="s">
        <v>428</v>
      </c>
      <c r="H125" t="s">
        <v>1354</v>
      </c>
      <c r="I125" t="s">
        <v>2487</v>
      </c>
      <c r="J125">
        <v>0.70654144756941195</v>
      </c>
      <c r="K125">
        <v>12.665660644876301</v>
      </c>
      <c r="L125">
        <v>47.898287028903603</v>
      </c>
      <c r="M125">
        <v>2.4433333333333298</v>
      </c>
      <c r="N125">
        <v>49.98</v>
      </c>
      <c r="O125">
        <v>2.3576800000000002</v>
      </c>
      <c r="P125">
        <v>5.8819657034189302E-3</v>
      </c>
      <c r="Q125">
        <v>0.21173612972270336</v>
      </c>
      <c r="R125">
        <v>1.7192312357682739E-2</v>
      </c>
      <c r="S125">
        <v>0.52411679393629007</v>
      </c>
      <c r="T125">
        <v>0</v>
      </c>
      <c r="U125">
        <v>5.4788606369217223E-2</v>
      </c>
      <c r="V125">
        <v>0.16582899811593674</v>
      </c>
      <c r="W125">
        <v>2.0455193794750793E-2</v>
      </c>
      <c r="X125" t="s">
        <v>50</v>
      </c>
      <c r="Y125" t="s">
        <v>109</v>
      </c>
      <c r="Z125" t="s">
        <v>2385</v>
      </c>
      <c r="AA125">
        <v>0</v>
      </c>
      <c r="AB125">
        <v>0</v>
      </c>
      <c r="AC125">
        <v>0</v>
      </c>
      <c r="AD125">
        <v>0</v>
      </c>
    </row>
    <row r="126" spans="1:30" x14ac:dyDescent="0.25">
      <c r="A126">
        <v>15</v>
      </c>
      <c r="B126">
        <f>LOOKUP(A126,'cluster stats'!$B$21:$B$35,'cluster stats'!$A$21:$A$35)</f>
        <v>53</v>
      </c>
      <c r="C126" t="str">
        <f>VLOOKUP(A126,'cluster stats'!$A$2:$B$16,2,FALSE)</f>
        <v>nearshore demersal carnivores</v>
      </c>
      <c r="D126" t="s">
        <v>1223</v>
      </c>
      <c r="E126" t="s">
        <v>1221</v>
      </c>
      <c r="F126" t="s">
        <v>2385</v>
      </c>
      <c r="G126" t="s">
        <v>471</v>
      </c>
      <c r="H126" t="s">
        <v>531</v>
      </c>
      <c r="I126" t="s">
        <v>2488</v>
      </c>
      <c r="J126">
        <v>2.70896385375752</v>
      </c>
      <c r="K126">
        <v>11.07691054313155</v>
      </c>
      <c r="L126">
        <v>18.7</v>
      </c>
      <c r="M126">
        <v>3.3849999856948898</v>
      </c>
      <c r="N126">
        <v>26.6</v>
      </c>
      <c r="O126">
        <v>1.2909999999999999</v>
      </c>
      <c r="P126">
        <v>3.4679763866027891E-2</v>
      </c>
      <c r="Q126">
        <v>0.74020246856964955</v>
      </c>
      <c r="R126">
        <v>7.5172899343470484E-3</v>
      </c>
      <c r="S126">
        <v>4.0092211526971738E-3</v>
      </c>
      <c r="T126">
        <v>0</v>
      </c>
      <c r="U126">
        <v>4.2096823811569595E-3</v>
      </c>
      <c r="V126">
        <v>0.19404630314084795</v>
      </c>
      <c r="W126">
        <v>1.533527095527344E-2</v>
      </c>
      <c r="X126" t="s">
        <v>50</v>
      </c>
      <c r="Y126" t="s">
        <v>109</v>
      </c>
      <c r="Z126" t="s">
        <v>2385</v>
      </c>
      <c r="AA126">
        <v>1</v>
      </c>
      <c r="AB126">
        <v>0</v>
      </c>
      <c r="AC126">
        <v>0</v>
      </c>
      <c r="AD126">
        <v>0</v>
      </c>
    </row>
    <row r="127" spans="1:30" x14ac:dyDescent="0.25">
      <c r="A127">
        <v>15</v>
      </c>
      <c r="B127">
        <f>LOOKUP(A127,'cluster stats'!$B$21:$B$35,'cluster stats'!$A$21:$A$35)</f>
        <v>53</v>
      </c>
      <c r="C127" t="str">
        <f>VLOOKUP(A127,'cluster stats'!$A$2:$B$16,2,FALSE)</f>
        <v>nearshore demersal carnivores</v>
      </c>
      <c r="D127" t="s">
        <v>1306</v>
      </c>
      <c r="E127" t="s">
        <v>1304</v>
      </c>
      <c r="F127" t="s">
        <v>2385</v>
      </c>
      <c r="G127" t="s">
        <v>1298</v>
      </c>
      <c r="H127" t="s">
        <v>1302</v>
      </c>
      <c r="I127" t="s">
        <v>2489</v>
      </c>
      <c r="J127">
        <v>1.43784252539665</v>
      </c>
      <c r="K127">
        <v>14.571813639042851</v>
      </c>
      <c r="L127">
        <v>15.8997907219241</v>
      </c>
      <c r="M127">
        <v>3.26</v>
      </c>
      <c r="N127">
        <v>17.600000000000001</v>
      </c>
      <c r="O127">
        <v>2.2475575000000001</v>
      </c>
      <c r="P127">
        <v>3.016158289416436E-2</v>
      </c>
      <c r="Q127">
        <v>0.47341489355383765</v>
      </c>
      <c r="R127">
        <v>0.10938502898545627</v>
      </c>
      <c r="S127">
        <v>6.5220181508247266E-2</v>
      </c>
      <c r="T127">
        <v>0</v>
      </c>
      <c r="U127">
        <v>9.1704419630163776E-5</v>
      </c>
      <c r="V127">
        <v>0.27921244068746814</v>
      </c>
      <c r="W127">
        <v>4.2514167951196141E-2</v>
      </c>
      <c r="X127" t="s">
        <v>50</v>
      </c>
      <c r="Y127" t="s">
        <v>109</v>
      </c>
      <c r="Z127" t="s">
        <v>2385</v>
      </c>
      <c r="AA127">
        <v>1</v>
      </c>
      <c r="AB127">
        <v>0</v>
      </c>
      <c r="AC127">
        <v>1</v>
      </c>
      <c r="AD127">
        <v>0</v>
      </c>
    </row>
    <row r="128" spans="1:30" x14ac:dyDescent="0.25">
      <c r="A128">
        <v>15</v>
      </c>
      <c r="B128">
        <f>LOOKUP(A128,'cluster stats'!$B$21:$B$35,'cluster stats'!$A$21:$A$35)</f>
        <v>53</v>
      </c>
      <c r="C128" t="str">
        <f>VLOOKUP(A128,'cluster stats'!$A$2:$B$16,2,FALSE)</f>
        <v>nearshore demersal carnivores</v>
      </c>
      <c r="D128" t="s">
        <v>2490</v>
      </c>
      <c r="E128" t="s">
        <v>1316</v>
      </c>
      <c r="F128" t="s">
        <v>2385</v>
      </c>
      <c r="G128" t="s">
        <v>1298</v>
      </c>
      <c r="H128" t="s">
        <v>1315</v>
      </c>
      <c r="I128" t="s">
        <v>2442</v>
      </c>
      <c r="J128">
        <v>0.67774900000000005</v>
      </c>
      <c r="K128">
        <v>11.78697255927775</v>
      </c>
      <c r="L128">
        <v>32.1666666666667</v>
      </c>
      <c r="M128">
        <v>2.7450000000000001</v>
      </c>
      <c r="N128">
        <v>33.85</v>
      </c>
      <c r="O128">
        <v>0.91678199999999999</v>
      </c>
      <c r="P128">
        <v>0</v>
      </c>
      <c r="Q128">
        <v>5.3199999264299878E-2</v>
      </c>
      <c r="R128">
        <v>0.41680000485289098</v>
      </c>
      <c r="S128">
        <v>0.24625000106412903</v>
      </c>
      <c r="T128">
        <v>0</v>
      </c>
      <c r="U128">
        <v>0</v>
      </c>
      <c r="V128">
        <v>0.28064999478144209</v>
      </c>
      <c r="W128">
        <v>3.1000000372380025E-3</v>
      </c>
      <c r="X128" t="s">
        <v>50</v>
      </c>
      <c r="Y128" t="s">
        <v>109</v>
      </c>
      <c r="Z128" t="s">
        <v>2385</v>
      </c>
      <c r="AA128">
        <v>0</v>
      </c>
      <c r="AB128">
        <v>0</v>
      </c>
      <c r="AC128">
        <v>0</v>
      </c>
      <c r="AD128">
        <v>0</v>
      </c>
    </row>
    <row r="129" spans="1:30" x14ac:dyDescent="0.25">
      <c r="A129">
        <v>15</v>
      </c>
      <c r="B129">
        <f>LOOKUP(A129,'cluster stats'!$B$21:$B$35,'cluster stats'!$A$21:$A$35)</f>
        <v>53</v>
      </c>
      <c r="C129" t="str">
        <f>VLOOKUP(A129,'cluster stats'!$A$2:$B$16,2,FALSE)</f>
        <v>nearshore demersal carnivores</v>
      </c>
      <c r="D129" t="s">
        <v>1359</v>
      </c>
      <c r="E129" t="s">
        <v>1356</v>
      </c>
      <c r="F129" t="s">
        <v>2385</v>
      </c>
      <c r="G129" t="s">
        <v>428</v>
      </c>
      <c r="H129" t="s">
        <v>1358</v>
      </c>
      <c r="I129" t="s">
        <v>2491</v>
      </c>
      <c r="J129">
        <v>0.91216054380195999</v>
      </c>
      <c r="K129">
        <v>9.7541289512050966</v>
      </c>
      <c r="L129">
        <v>41.743344060429301</v>
      </c>
      <c r="M129">
        <v>3.71</v>
      </c>
      <c r="N129">
        <v>34.4</v>
      </c>
      <c r="O129">
        <v>2.2199300000000002</v>
      </c>
      <c r="P129">
        <v>3.176438109413468E-2</v>
      </c>
      <c r="Q129">
        <v>0.27698732397364928</v>
      </c>
      <c r="R129">
        <v>1.2160146143973156E-2</v>
      </c>
      <c r="S129">
        <v>0.29887158646885914</v>
      </c>
      <c r="T129">
        <v>0</v>
      </c>
      <c r="U129">
        <v>7.6320912642937871E-3</v>
      </c>
      <c r="V129">
        <v>0.16069392902159621</v>
      </c>
      <c r="W129">
        <v>0.21189054203349378</v>
      </c>
      <c r="X129" t="s">
        <v>50</v>
      </c>
      <c r="Y129" t="s">
        <v>109</v>
      </c>
      <c r="Z129" t="s">
        <v>2385</v>
      </c>
      <c r="AA129">
        <v>0</v>
      </c>
      <c r="AB129">
        <v>1</v>
      </c>
      <c r="AC129">
        <v>0</v>
      </c>
      <c r="AD129">
        <v>0</v>
      </c>
    </row>
    <row r="130" spans="1:30" x14ac:dyDescent="0.25">
      <c r="A130">
        <v>15</v>
      </c>
      <c r="B130">
        <f>LOOKUP(A130,'cluster stats'!$B$21:$B$35,'cluster stats'!$A$21:$A$35)</f>
        <v>53</v>
      </c>
      <c r="C130" t="str">
        <f>VLOOKUP(A130,'cluster stats'!$A$2:$B$16,2,FALSE)</f>
        <v>nearshore demersal carnivores</v>
      </c>
      <c r="D130" t="s">
        <v>1234</v>
      </c>
      <c r="E130" t="s">
        <v>1231</v>
      </c>
      <c r="F130" t="s">
        <v>2385</v>
      </c>
      <c r="G130" t="s">
        <v>559</v>
      </c>
      <c r="H130" t="s">
        <v>1233</v>
      </c>
      <c r="I130" t="s">
        <v>2492</v>
      </c>
      <c r="J130">
        <v>0.82534637030248703</v>
      </c>
      <c r="K130">
        <v>10.8711382358296</v>
      </c>
      <c r="L130">
        <v>37.631999215381597</v>
      </c>
      <c r="M130">
        <v>3.52</v>
      </c>
      <c r="N130">
        <v>29.15</v>
      </c>
      <c r="O130">
        <v>1.5411600000000001</v>
      </c>
      <c r="P130">
        <v>3.2951225722281326E-2</v>
      </c>
      <c r="Q130">
        <v>0.23981355575639615</v>
      </c>
      <c r="R130">
        <v>0.35483619595518723</v>
      </c>
      <c r="S130">
        <v>1.6726510301310119E-3</v>
      </c>
      <c r="T130">
        <v>0</v>
      </c>
      <c r="U130">
        <v>0</v>
      </c>
      <c r="V130">
        <v>0.22132518103817767</v>
      </c>
      <c r="W130">
        <v>0.14940119049782655</v>
      </c>
      <c r="X130" t="s">
        <v>50</v>
      </c>
      <c r="Y130" t="s">
        <v>109</v>
      </c>
      <c r="Z130" t="s">
        <v>2385</v>
      </c>
      <c r="AA130">
        <v>1</v>
      </c>
      <c r="AB130">
        <v>0</v>
      </c>
      <c r="AC130">
        <v>0</v>
      </c>
      <c r="AD130">
        <v>0</v>
      </c>
    </row>
    <row r="131" spans="1:30" x14ac:dyDescent="0.25">
      <c r="A131">
        <v>15</v>
      </c>
      <c r="B131">
        <f>LOOKUP(A131,'cluster stats'!$B$21:$B$35,'cluster stats'!$A$21:$A$35)</f>
        <v>53</v>
      </c>
      <c r="C131" t="str">
        <f>VLOOKUP(A131,'cluster stats'!$A$2:$B$16,2,FALSE)</f>
        <v>nearshore demersal carnivores</v>
      </c>
      <c r="D131" t="s">
        <v>1240</v>
      </c>
      <c r="E131" t="s">
        <v>1238</v>
      </c>
      <c r="F131" t="s">
        <v>2385</v>
      </c>
      <c r="G131" t="s">
        <v>559</v>
      </c>
      <c r="H131" t="s">
        <v>1236</v>
      </c>
      <c r="I131" t="s">
        <v>2373</v>
      </c>
      <c r="J131">
        <v>1.1762996800883301</v>
      </c>
      <c r="K131">
        <v>6.0139746212244845</v>
      </c>
      <c r="L131">
        <v>51.994377291922603</v>
      </c>
      <c r="M131">
        <v>3.4550000000000001</v>
      </c>
      <c r="N131">
        <v>38.25</v>
      </c>
      <c r="O131">
        <v>1.29627</v>
      </c>
      <c r="P131">
        <v>0.13128571512762191</v>
      </c>
      <c r="Q131">
        <v>0.62214285474996667</v>
      </c>
      <c r="R131">
        <v>6.3571429253726899E-2</v>
      </c>
      <c r="S131">
        <v>0</v>
      </c>
      <c r="T131">
        <v>0</v>
      </c>
      <c r="U131">
        <v>2.2857143320599372E-3</v>
      </c>
      <c r="V131">
        <v>0.18071428653662464</v>
      </c>
      <c r="W131">
        <v>0</v>
      </c>
      <c r="X131" t="s">
        <v>50</v>
      </c>
      <c r="Y131" t="s">
        <v>109</v>
      </c>
      <c r="Z131" t="s">
        <v>2385</v>
      </c>
      <c r="AA131">
        <v>0</v>
      </c>
      <c r="AB131">
        <v>0</v>
      </c>
      <c r="AC131">
        <v>0</v>
      </c>
      <c r="AD131">
        <v>0</v>
      </c>
    </row>
    <row r="132" spans="1:30" x14ac:dyDescent="0.25">
      <c r="A132">
        <v>15</v>
      </c>
      <c r="B132">
        <f>LOOKUP(A132,'cluster stats'!$B$21:$B$35,'cluster stats'!$A$21:$A$35)</f>
        <v>53</v>
      </c>
      <c r="C132" t="str">
        <f>VLOOKUP(A132,'cluster stats'!$A$2:$B$16,2,FALSE)</f>
        <v>nearshore demersal carnivores</v>
      </c>
      <c r="D132" t="s">
        <v>1250</v>
      </c>
      <c r="E132" t="s">
        <v>1247</v>
      </c>
      <c r="F132" t="s">
        <v>2385</v>
      </c>
      <c r="G132" t="s">
        <v>559</v>
      </c>
      <c r="H132" t="s">
        <v>1249</v>
      </c>
      <c r="I132" t="s">
        <v>2493</v>
      </c>
      <c r="J132">
        <v>0.73027014253965905</v>
      </c>
      <c r="K132">
        <v>5.0575718538888594</v>
      </c>
      <c r="L132">
        <v>57.107207332300703</v>
      </c>
      <c r="M132">
        <v>3.6549999999999998</v>
      </c>
      <c r="N132">
        <v>34.090000000000003</v>
      </c>
      <c r="O132">
        <v>1.2581500000000001</v>
      </c>
      <c r="P132">
        <v>8.3650523247015357E-2</v>
      </c>
      <c r="Q132">
        <v>0.17743860921755503</v>
      </c>
      <c r="R132">
        <v>7.0625440124606398E-3</v>
      </c>
      <c r="S132">
        <v>9.4875594532071849E-3</v>
      </c>
      <c r="T132">
        <v>0</v>
      </c>
      <c r="U132">
        <v>0</v>
      </c>
      <c r="V132">
        <v>0.41854636520388511</v>
      </c>
      <c r="W132">
        <v>0.30381439886587669</v>
      </c>
      <c r="X132" t="s">
        <v>50</v>
      </c>
      <c r="Y132" t="s">
        <v>109</v>
      </c>
      <c r="Z132" t="s">
        <v>2385</v>
      </c>
      <c r="AA132">
        <v>1</v>
      </c>
      <c r="AB132">
        <v>0</v>
      </c>
      <c r="AC132">
        <v>0</v>
      </c>
      <c r="AD132">
        <v>0</v>
      </c>
    </row>
    <row r="133" spans="1:30" x14ac:dyDescent="0.25">
      <c r="A133">
        <v>15</v>
      </c>
      <c r="B133">
        <f>LOOKUP(A133,'cluster stats'!$B$21:$B$35,'cluster stats'!$A$21:$A$35)</f>
        <v>53</v>
      </c>
      <c r="C133" t="str">
        <f>VLOOKUP(A133,'cluster stats'!$A$2:$B$16,2,FALSE)</f>
        <v>nearshore demersal carnivores</v>
      </c>
      <c r="D133" t="s">
        <v>1216</v>
      </c>
      <c r="E133" t="s">
        <v>1213</v>
      </c>
      <c r="F133" t="s">
        <v>2385</v>
      </c>
      <c r="G133" t="s">
        <v>449</v>
      </c>
      <c r="H133" t="s">
        <v>1215</v>
      </c>
      <c r="I133" t="s">
        <v>2494</v>
      </c>
      <c r="J133">
        <v>0.70654144756941195</v>
      </c>
      <c r="K133">
        <v>7.7404189704105351</v>
      </c>
      <c r="L133">
        <v>47.898287028903603</v>
      </c>
      <c r="M133">
        <v>3.4033333683013902</v>
      </c>
      <c r="N133">
        <v>50.68</v>
      </c>
      <c r="O133">
        <v>1.8251900000000001</v>
      </c>
      <c r="P133">
        <v>2.1666666385241715E-2</v>
      </c>
      <c r="Q133">
        <v>0.26760000196708184</v>
      </c>
      <c r="R133">
        <v>0.27286666515694902</v>
      </c>
      <c r="S133">
        <v>3.1666665857988966E-3</v>
      </c>
      <c r="T133">
        <v>0</v>
      </c>
      <c r="U133">
        <v>0</v>
      </c>
      <c r="V133">
        <v>0.31236666561743237</v>
      </c>
      <c r="W133">
        <v>0.1223333342874962</v>
      </c>
      <c r="X133" t="s">
        <v>50</v>
      </c>
      <c r="Y133" t="s">
        <v>109</v>
      </c>
      <c r="Z133" t="s">
        <v>2385</v>
      </c>
      <c r="AA133">
        <v>1</v>
      </c>
      <c r="AB133">
        <v>1</v>
      </c>
      <c r="AC133">
        <v>1</v>
      </c>
      <c r="AD133">
        <v>1</v>
      </c>
    </row>
    <row r="134" spans="1:30" x14ac:dyDescent="0.25">
      <c r="A134">
        <v>15</v>
      </c>
      <c r="B134">
        <f>LOOKUP(A134,'cluster stats'!$B$21:$B$35,'cluster stats'!$A$21:$A$35)</f>
        <v>53</v>
      </c>
      <c r="C134" t="str">
        <f>VLOOKUP(A134,'cluster stats'!$A$2:$B$16,2,FALSE)</f>
        <v>nearshore demersal carnivores</v>
      </c>
      <c r="D134" t="s">
        <v>940</v>
      </c>
      <c r="E134" t="s">
        <v>938</v>
      </c>
      <c r="F134" t="s">
        <v>2385</v>
      </c>
      <c r="G134" t="s">
        <v>471</v>
      </c>
      <c r="H134" t="s">
        <v>936</v>
      </c>
      <c r="I134" t="s">
        <v>2495</v>
      </c>
      <c r="J134">
        <v>0.78636635805877497</v>
      </c>
      <c r="K134">
        <v>3.73205899941299</v>
      </c>
      <c r="L134">
        <v>85.617935342052306</v>
      </c>
      <c r="M134">
        <v>3.5300000095367401</v>
      </c>
      <c r="N134">
        <v>43.52</v>
      </c>
      <c r="O134">
        <v>1.0975200000000001</v>
      </c>
      <c r="P134">
        <v>0</v>
      </c>
      <c r="Q134">
        <v>0.91900000038042662</v>
      </c>
      <c r="R134">
        <v>0</v>
      </c>
      <c r="S134">
        <v>1.9999999961256947E-3</v>
      </c>
      <c r="T134">
        <v>0</v>
      </c>
      <c r="U134">
        <v>0</v>
      </c>
      <c r="V134">
        <v>0</v>
      </c>
      <c r="W134">
        <v>7.8999999623447614E-2</v>
      </c>
      <c r="X134" t="s">
        <v>50</v>
      </c>
      <c r="Y134" t="s">
        <v>109</v>
      </c>
      <c r="Z134" t="s">
        <v>2385</v>
      </c>
      <c r="AA134">
        <v>0</v>
      </c>
      <c r="AB134">
        <v>0</v>
      </c>
      <c r="AC134">
        <v>0</v>
      </c>
      <c r="AD134">
        <v>0</v>
      </c>
    </row>
    <row r="135" spans="1:30" x14ac:dyDescent="0.25">
      <c r="A135">
        <v>15</v>
      </c>
      <c r="B135">
        <f>LOOKUP(A135,'cluster stats'!$B$21:$B$35,'cluster stats'!$A$21:$A$35)</f>
        <v>53</v>
      </c>
      <c r="C135" t="str">
        <f>VLOOKUP(A135,'cluster stats'!$A$2:$B$16,2,FALSE)</f>
        <v>nearshore demersal carnivores</v>
      </c>
      <c r="D135" t="s">
        <v>1254</v>
      </c>
      <c r="E135" t="s">
        <v>1251</v>
      </c>
      <c r="F135" t="s">
        <v>2385</v>
      </c>
      <c r="G135" t="s">
        <v>559</v>
      </c>
      <c r="H135" t="s">
        <v>1253</v>
      </c>
      <c r="I135" t="s">
        <v>2496</v>
      </c>
      <c r="J135">
        <v>5.7000000000000002E-2</v>
      </c>
      <c r="K135">
        <v>3.135659427988335</v>
      </c>
      <c r="L135">
        <v>110</v>
      </c>
      <c r="M135">
        <v>3.58</v>
      </c>
      <c r="N135">
        <v>59.82</v>
      </c>
      <c r="O135">
        <v>1.2473099999999999</v>
      </c>
      <c r="P135">
        <v>0</v>
      </c>
      <c r="Q135">
        <v>0.56799999958038294</v>
      </c>
      <c r="R135">
        <v>0</v>
      </c>
      <c r="S135">
        <v>0</v>
      </c>
      <c r="T135">
        <v>0</v>
      </c>
      <c r="U135">
        <v>0</v>
      </c>
      <c r="V135">
        <v>0.43200000041961695</v>
      </c>
      <c r="W135">
        <v>0</v>
      </c>
      <c r="X135" t="s">
        <v>50</v>
      </c>
      <c r="Y135" t="s">
        <v>109</v>
      </c>
      <c r="Z135" t="s">
        <v>2385</v>
      </c>
      <c r="AA135">
        <v>1</v>
      </c>
      <c r="AB135">
        <v>0</v>
      </c>
      <c r="AC135">
        <v>0</v>
      </c>
      <c r="AD135">
        <v>0</v>
      </c>
    </row>
    <row r="136" spans="1:30" x14ac:dyDescent="0.25">
      <c r="A136">
        <v>15</v>
      </c>
      <c r="B136">
        <f>LOOKUP(A136,'cluster stats'!$B$21:$B$35,'cluster stats'!$A$21:$A$35)</f>
        <v>53</v>
      </c>
      <c r="C136" t="str">
        <f>VLOOKUP(A136,'cluster stats'!$A$2:$B$16,2,FALSE)</f>
        <v>nearshore demersal carnivores</v>
      </c>
      <c r="D136" t="s">
        <v>1280</v>
      </c>
      <c r="E136" t="s">
        <v>1278</v>
      </c>
      <c r="F136" t="s">
        <v>2385</v>
      </c>
      <c r="G136" t="s">
        <v>1167</v>
      </c>
      <c r="H136" t="s">
        <v>1168</v>
      </c>
      <c r="I136" t="s">
        <v>2497</v>
      </c>
      <c r="J136">
        <v>1.30395719550086</v>
      </c>
      <c r="K136">
        <v>11.436319452125389</v>
      </c>
      <c r="L136">
        <v>18.504346140639701</v>
      </c>
      <c r="M136">
        <v>3.42</v>
      </c>
      <c r="N136">
        <v>25.85</v>
      </c>
      <c r="O136">
        <v>1.65</v>
      </c>
      <c r="P136">
        <v>0</v>
      </c>
      <c r="Q136">
        <v>1</v>
      </c>
      <c r="R136">
        <v>0</v>
      </c>
      <c r="S136">
        <v>0</v>
      </c>
      <c r="T136">
        <v>0</v>
      </c>
      <c r="U136">
        <v>0</v>
      </c>
      <c r="V136">
        <v>0</v>
      </c>
      <c r="W136">
        <v>0</v>
      </c>
      <c r="X136" t="s">
        <v>50</v>
      </c>
      <c r="Y136" t="s">
        <v>109</v>
      </c>
      <c r="Z136" t="s">
        <v>2385</v>
      </c>
      <c r="AA136">
        <v>0</v>
      </c>
      <c r="AB136">
        <v>0</v>
      </c>
      <c r="AC136">
        <v>0</v>
      </c>
      <c r="AD136">
        <v>0</v>
      </c>
    </row>
    <row r="137" spans="1:30" x14ac:dyDescent="0.25">
      <c r="A137">
        <v>15</v>
      </c>
      <c r="B137">
        <f>LOOKUP(A137,'cluster stats'!$B$21:$B$35,'cluster stats'!$A$21:$A$35)</f>
        <v>53</v>
      </c>
      <c r="C137" t="str">
        <f>VLOOKUP(A137,'cluster stats'!$A$2:$B$16,2,FALSE)</f>
        <v>nearshore demersal carnivores</v>
      </c>
      <c r="D137" t="s">
        <v>1283</v>
      </c>
      <c r="E137" t="s">
        <v>1281</v>
      </c>
      <c r="F137" t="s">
        <v>2385</v>
      </c>
      <c r="G137" t="s">
        <v>1167</v>
      </c>
      <c r="H137" t="s">
        <v>1168</v>
      </c>
      <c r="I137" t="s">
        <v>2498</v>
      </c>
      <c r="J137">
        <v>1.30395719550086</v>
      </c>
      <c r="K137">
        <v>11.436319452125389</v>
      </c>
      <c r="L137">
        <v>18.504346140639701</v>
      </c>
      <c r="M137">
        <v>3.5249999999999999</v>
      </c>
      <c r="N137">
        <v>25.85</v>
      </c>
      <c r="O137">
        <v>1.65</v>
      </c>
      <c r="P137">
        <v>1.0668088842446474E-3</v>
      </c>
      <c r="Q137">
        <v>0.74306574022806526</v>
      </c>
      <c r="R137">
        <v>0</v>
      </c>
      <c r="S137">
        <v>0</v>
      </c>
      <c r="T137">
        <v>0</v>
      </c>
      <c r="U137">
        <v>0</v>
      </c>
      <c r="V137">
        <v>5.1540204157972884E-2</v>
      </c>
      <c r="W137">
        <v>0.20432724672971711</v>
      </c>
      <c r="X137" t="s">
        <v>50</v>
      </c>
      <c r="Y137" t="s">
        <v>109</v>
      </c>
      <c r="Z137" t="s">
        <v>2385</v>
      </c>
      <c r="AA137">
        <v>0</v>
      </c>
      <c r="AB137">
        <v>0</v>
      </c>
      <c r="AC137">
        <v>0</v>
      </c>
      <c r="AD137">
        <v>0</v>
      </c>
    </row>
    <row r="138" spans="1:30" x14ac:dyDescent="0.25">
      <c r="A138">
        <v>15</v>
      </c>
      <c r="B138">
        <f>LOOKUP(A138,'cluster stats'!$B$21:$B$35,'cluster stats'!$A$21:$A$35)</f>
        <v>53</v>
      </c>
      <c r="C138" t="str">
        <f>VLOOKUP(A138,'cluster stats'!$A$2:$B$16,2,FALSE)</f>
        <v>nearshore demersal carnivores</v>
      </c>
      <c r="D138" t="s">
        <v>1289</v>
      </c>
      <c r="E138" t="s">
        <v>1287</v>
      </c>
      <c r="F138" t="s">
        <v>2385</v>
      </c>
      <c r="G138" t="s">
        <v>1167</v>
      </c>
      <c r="H138" t="s">
        <v>1168</v>
      </c>
      <c r="I138" t="s">
        <v>2499</v>
      </c>
      <c r="J138">
        <v>1.1981004043474499</v>
      </c>
      <c r="K138">
        <v>10.549137247504992</v>
      </c>
      <c r="L138">
        <v>21.1029718069605</v>
      </c>
      <c r="M138">
        <v>3.42</v>
      </c>
      <c r="N138">
        <v>28.13</v>
      </c>
      <c r="O138">
        <v>1.65</v>
      </c>
      <c r="P138">
        <v>0</v>
      </c>
      <c r="Q138">
        <v>1</v>
      </c>
      <c r="R138">
        <v>0</v>
      </c>
      <c r="S138">
        <v>0</v>
      </c>
      <c r="T138">
        <v>0</v>
      </c>
      <c r="U138">
        <v>0</v>
      </c>
      <c r="V138">
        <v>0</v>
      </c>
      <c r="W138">
        <v>0</v>
      </c>
      <c r="X138" t="s">
        <v>50</v>
      </c>
      <c r="Y138" t="s">
        <v>109</v>
      </c>
      <c r="Z138" t="s">
        <v>2385</v>
      </c>
      <c r="AA138">
        <v>0</v>
      </c>
      <c r="AB138">
        <v>0</v>
      </c>
      <c r="AC138">
        <v>0</v>
      </c>
      <c r="AD138">
        <v>0</v>
      </c>
    </row>
    <row r="139" spans="1:30" x14ac:dyDescent="0.25">
      <c r="A139">
        <v>15</v>
      </c>
      <c r="B139">
        <f>LOOKUP(A139,'cluster stats'!$B$21:$B$35,'cluster stats'!$A$21:$A$35)</f>
        <v>53</v>
      </c>
      <c r="C139" t="str">
        <f>VLOOKUP(A139,'cluster stats'!$A$2:$B$16,2,FALSE)</f>
        <v>nearshore demersal carnivores</v>
      </c>
      <c r="D139" t="s">
        <v>1292</v>
      </c>
      <c r="E139" t="s">
        <v>1290</v>
      </c>
      <c r="F139" t="s">
        <v>2385</v>
      </c>
      <c r="G139" t="s">
        <v>1167</v>
      </c>
      <c r="H139" t="s">
        <v>1168</v>
      </c>
      <c r="I139" t="s">
        <v>2500</v>
      </c>
      <c r="J139">
        <v>0.92649175867684996</v>
      </c>
      <c r="K139">
        <v>8.2552493161658447</v>
      </c>
      <c r="L139">
        <v>31.4510411455501</v>
      </c>
      <c r="M139">
        <v>3.5249999999999999</v>
      </c>
      <c r="N139">
        <v>34.1</v>
      </c>
      <c r="O139">
        <v>1.65</v>
      </c>
      <c r="P139">
        <v>1.0668088842446474E-3</v>
      </c>
      <c r="Q139">
        <v>0.74306574022806526</v>
      </c>
      <c r="R139">
        <v>0</v>
      </c>
      <c r="S139">
        <v>0</v>
      </c>
      <c r="T139">
        <v>0</v>
      </c>
      <c r="U139">
        <v>0</v>
      </c>
      <c r="V139">
        <v>5.1540204157972884E-2</v>
      </c>
      <c r="W139">
        <v>0.20432724672971711</v>
      </c>
      <c r="X139" t="s">
        <v>50</v>
      </c>
      <c r="Y139" t="s">
        <v>109</v>
      </c>
      <c r="Z139" t="s">
        <v>2385</v>
      </c>
      <c r="AA139">
        <v>0</v>
      </c>
      <c r="AB139">
        <v>0</v>
      </c>
      <c r="AC139">
        <v>0</v>
      </c>
      <c r="AD139">
        <v>0</v>
      </c>
    </row>
    <row r="140" spans="1:30" x14ac:dyDescent="0.25">
      <c r="A140">
        <v>15</v>
      </c>
      <c r="B140">
        <f>LOOKUP(A140,'cluster stats'!$B$21:$B$35,'cluster stats'!$A$21:$A$35)</f>
        <v>53</v>
      </c>
      <c r="C140" t="str">
        <f>VLOOKUP(A140,'cluster stats'!$A$2:$B$16,2,FALSE)</f>
        <v>nearshore demersal carnivores</v>
      </c>
      <c r="D140" t="s">
        <v>1258</v>
      </c>
      <c r="E140" t="s">
        <v>1255</v>
      </c>
      <c r="F140" t="s">
        <v>2385</v>
      </c>
      <c r="G140" t="s">
        <v>559</v>
      </c>
      <c r="H140" t="s">
        <v>1257</v>
      </c>
      <c r="I140" t="s">
        <v>2432</v>
      </c>
      <c r="J140">
        <v>0.71596511454832401</v>
      </c>
      <c r="K140">
        <v>4.1336101262747151</v>
      </c>
      <c r="L140">
        <v>95.7</v>
      </c>
      <c r="M140">
        <v>3.9049999999999998</v>
      </c>
      <c r="N140">
        <v>42.92</v>
      </c>
      <c r="O140">
        <v>1.48766</v>
      </c>
      <c r="P140">
        <v>0.1768062309940413</v>
      </c>
      <c r="Q140">
        <v>0.13139023892263391</v>
      </c>
      <c r="R140">
        <v>0</v>
      </c>
      <c r="S140">
        <v>0</v>
      </c>
      <c r="T140">
        <v>0</v>
      </c>
      <c r="U140">
        <v>0</v>
      </c>
      <c r="V140">
        <v>4.8885804836994909E-2</v>
      </c>
      <c r="W140">
        <v>0.64291772524632995</v>
      </c>
      <c r="X140" t="s">
        <v>50</v>
      </c>
      <c r="Y140" t="s">
        <v>109</v>
      </c>
      <c r="Z140" t="s">
        <v>2385</v>
      </c>
      <c r="AA140">
        <v>1</v>
      </c>
      <c r="AB140">
        <v>0</v>
      </c>
      <c r="AC140">
        <v>0</v>
      </c>
      <c r="AD140">
        <v>0</v>
      </c>
    </row>
    <row r="141" spans="1:30" x14ac:dyDescent="0.25">
      <c r="A141">
        <v>15</v>
      </c>
      <c r="B141">
        <f>LOOKUP(A141,'cluster stats'!$B$21:$B$35,'cluster stats'!$A$21:$A$35)</f>
        <v>53</v>
      </c>
      <c r="C141" t="str">
        <f>VLOOKUP(A141,'cluster stats'!$A$2:$B$16,2,FALSE)</f>
        <v>nearshore demersal carnivores</v>
      </c>
      <c r="D141" t="s">
        <v>2501</v>
      </c>
      <c r="E141" t="s">
        <v>605</v>
      </c>
      <c r="F141" t="s">
        <v>2385</v>
      </c>
      <c r="G141" t="s">
        <v>601</v>
      </c>
      <c r="H141" t="s">
        <v>602</v>
      </c>
      <c r="I141" t="s">
        <v>2502</v>
      </c>
      <c r="J141">
        <v>1.2911259637505399</v>
      </c>
      <c r="K141">
        <v>13.552322072800255</v>
      </c>
      <c r="L141">
        <v>22.140937599588099</v>
      </c>
      <c r="M141">
        <v>3.0950000000000002</v>
      </c>
      <c r="N141">
        <v>32.090000000000003</v>
      </c>
      <c r="O141">
        <v>1.65</v>
      </c>
      <c r="P141">
        <v>0</v>
      </c>
      <c r="Q141">
        <v>0.26</v>
      </c>
      <c r="R141">
        <v>0</v>
      </c>
      <c r="S141">
        <v>0.19</v>
      </c>
      <c r="T141">
        <v>0</v>
      </c>
      <c r="U141">
        <v>0</v>
      </c>
      <c r="V141">
        <v>0.51</v>
      </c>
      <c r="W141">
        <v>0.04</v>
      </c>
      <c r="X141" t="s">
        <v>50</v>
      </c>
      <c r="Y141" t="s">
        <v>109</v>
      </c>
      <c r="Z141" t="s">
        <v>2385</v>
      </c>
      <c r="AA141">
        <v>1</v>
      </c>
      <c r="AB141">
        <v>0</v>
      </c>
      <c r="AC141">
        <v>0</v>
      </c>
      <c r="AD141">
        <v>0</v>
      </c>
    </row>
    <row r="142" spans="1:30" x14ac:dyDescent="0.25">
      <c r="A142">
        <v>15</v>
      </c>
      <c r="B142">
        <f>LOOKUP(A142,'cluster stats'!$B$21:$B$35,'cluster stats'!$A$21:$A$35)</f>
        <v>53</v>
      </c>
      <c r="C142" t="str">
        <f>VLOOKUP(A142,'cluster stats'!$A$2:$B$16,2,FALSE)</f>
        <v>nearshore demersal carnivores</v>
      </c>
      <c r="D142" t="s">
        <v>1261</v>
      </c>
      <c r="E142" t="s">
        <v>1259</v>
      </c>
      <c r="F142" t="s">
        <v>2385</v>
      </c>
      <c r="G142" t="s">
        <v>1127</v>
      </c>
      <c r="H142" t="s">
        <v>1134</v>
      </c>
      <c r="I142" t="s">
        <v>2503</v>
      </c>
      <c r="J142">
        <v>1.2675187348549799</v>
      </c>
      <c r="K142">
        <v>12.587406067222668</v>
      </c>
      <c r="L142">
        <v>19.3365111285149</v>
      </c>
      <c r="M142">
        <v>3.29</v>
      </c>
      <c r="N142">
        <v>17.11</v>
      </c>
      <c r="O142">
        <v>1.65</v>
      </c>
      <c r="P142">
        <v>0</v>
      </c>
      <c r="Q142">
        <v>0.81836367109500197</v>
      </c>
      <c r="R142">
        <v>0</v>
      </c>
      <c r="S142">
        <v>0</v>
      </c>
      <c r="T142">
        <v>0</v>
      </c>
      <c r="U142">
        <v>3.2006400072182814E-3</v>
      </c>
      <c r="V142">
        <v>3.0006001930689085E-3</v>
      </c>
      <c r="W142">
        <v>0.17543508870471092</v>
      </c>
      <c r="X142" t="s">
        <v>50</v>
      </c>
      <c r="Y142" t="s">
        <v>109</v>
      </c>
      <c r="Z142" t="s">
        <v>2385</v>
      </c>
      <c r="AA142">
        <v>0</v>
      </c>
      <c r="AB142">
        <v>0</v>
      </c>
      <c r="AC142">
        <v>1</v>
      </c>
      <c r="AD142">
        <v>0</v>
      </c>
    </row>
    <row r="143" spans="1:30" x14ac:dyDescent="0.25">
      <c r="A143">
        <v>15</v>
      </c>
      <c r="B143">
        <f>LOOKUP(A143,'cluster stats'!$B$21:$B$35,'cluster stats'!$A$21:$A$35)</f>
        <v>53</v>
      </c>
      <c r="C143" t="str">
        <f>VLOOKUP(A143,'cluster stats'!$A$2:$B$16,2,FALSE)</f>
        <v>nearshore demersal carnivores</v>
      </c>
      <c r="D143" t="s">
        <v>1185</v>
      </c>
      <c r="E143" t="s">
        <v>1181</v>
      </c>
      <c r="F143" t="s">
        <v>2385</v>
      </c>
      <c r="G143" t="s">
        <v>1183</v>
      </c>
      <c r="H143" t="s">
        <v>1184</v>
      </c>
      <c r="I143" t="s">
        <v>2415</v>
      </c>
      <c r="J143">
        <v>1.0514853059984099</v>
      </c>
      <c r="K143">
        <v>9.247518570347129</v>
      </c>
      <c r="L143">
        <v>21.1029718069605</v>
      </c>
      <c r="M143">
        <v>2.95</v>
      </c>
      <c r="N143">
        <v>36.78</v>
      </c>
      <c r="O143">
        <v>1.303895</v>
      </c>
      <c r="P143">
        <v>0</v>
      </c>
      <c r="Q143">
        <v>1.0999999771118187E-2</v>
      </c>
      <c r="R143">
        <v>0.13510000222460433</v>
      </c>
      <c r="S143">
        <v>0</v>
      </c>
      <c r="T143">
        <v>0</v>
      </c>
      <c r="U143">
        <v>0</v>
      </c>
      <c r="V143">
        <v>0.85389999800427752</v>
      </c>
      <c r="W143">
        <v>0</v>
      </c>
      <c r="X143" t="s">
        <v>50</v>
      </c>
      <c r="Y143" t="s">
        <v>109</v>
      </c>
      <c r="Z143" t="s">
        <v>2385</v>
      </c>
      <c r="AA143">
        <v>0</v>
      </c>
      <c r="AB143">
        <v>0</v>
      </c>
      <c r="AC143">
        <v>1</v>
      </c>
      <c r="AD143">
        <v>0</v>
      </c>
    </row>
    <row r="144" spans="1:30" x14ac:dyDescent="0.25">
      <c r="A144">
        <v>14</v>
      </c>
      <c r="B144">
        <f>LOOKUP(A144,'cluster stats'!$B$21:$B$35,'cluster stats'!$A$21:$A$35)</f>
        <v>54</v>
      </c>
      <c r="C144" t="str">
        <f>VLOOKUP(A144,'cluster stats'!$A$2:$B$16,2,FALSE)</f>
        <v>demersal omnivores</v>
      </c>
      <c r="D144" t="s">
        <v>1347</v>
      </c>
      <c r="E144" t="s">
        <v>1344</v>
      </c>
      <c r="F144" t="s">
        <v>2385</v>
      </c>
      <c r="G144" t="s">
        <v>803</v>
      </c>
      <c r="H144" t="s">
        <v>1346</v>
      </c>
      <c r="I144" t="s">
        <v>2504</v>
      </c>
      <c r="J144">
        <v>2.2314187994413599</v>
      </c>
      <c r="K144">
        <v>27.060083188337103</v>
      </c>
      <c r="L144">
        <v>8.0379960660459897</v>
      </c>
      <c r="M144">
        <v>2.4</v>
      </c>
      <c r="N144">
        <v>16.21</v>
      </c>
      <c r="O144">
        <v>0.436166</v>
      </c>
      <c r="P144">
        <v>0</v>
      </c>
      <c r="Q144">
        <v>0.29992696924300655</v>
      </c>
      <c r="R144">
        <v>0.59033907266805319</v>
      </c>
      <c r="S144">
        <v>6.6875325100583208E-2</v>
      </c>
      <c r="T144">
        <v>0</v>
      </c>
      <c r="U144">
        <v>0</v>
      </c>
      <c r="V144">
        <v>4.2858632988357036E-2</v>
      </c>
      <c r="W144">
        <v>0</v>
      </c>
      <c r="X144" t="s">
        <v>50</v>
      </c>
      <c r="Y144" t="s">
        <v>109</v>
      </c>
      <c r="Z144" t="s">
        <v>2385</v>
      </c>
      <c r="AA144">
        <v>0</v>
      </c>
      <c r="AB144">
        <v>0</v>
      </c>
      <c r="AC144">
        <v>0</v>
      </c>
      <c r="AD144">
        <v>0</v>
      </c>
    </row>
    <row r="145" spans="1:30" x14ac:dyDescent="0.25">
      <c r="A145">
        <v>14</v>
      </c>
      <c r="B145">
        <f>LOOKUP(A145,'cluster stats'!$B$21:$B$35,'cluster stats'!$A$21:$A$35)</f>
        <v>54</v>
      </c>
      <c r="C145" t="str">
        <f>VLOOKUP(A145,'cluster stats'!$A$2:$B$16,2,FALSE)</f>
        <v>demersal omnivores</v>
      </c>
      <c r="D145" t="s">
        <v>2505</v>
      </c>
      <c r="E145" t="s">
        <v>1348</v>
      </c>
      <c r="F145" t="s">
        <v>2385</v>
      </c>
      <c r="G145" t="s">
        <v>803</v>
      </c>
      <c r="H145" t="s">
        <v>1346</v>
      </c>
      <c r="I145" t="s">
        <v>2506</v>
      </c>
      <c r="J145">
        <v>2.4674914528398801</v>
      </c>
      <c r="K145">
        <v>29.759639124371297</v>
      </c>
      <c r="L145">
        <v>6.8764091953025401</v>
      </c>
      <c r="M145">
        <v>2.4</v>
      </c>
      <c r="N145">
        <v>10</v>
      </c>
      <c r="O145">
        <v>0.436166</v>
      </c>
      <c r="P145">
        <v>0</v>
      </c>
      <c r="Q145">
        <v>0.29992696924300655</v>
      </c>
      <c r="R145">
        <v>0.59033907266805319</v>
      </c>
      <c r="S145">
        <v>6.6875325100583208E-2</v>
      </c>
      <c r="T145">
        <v>0</v>
      </c>
      <c r="U145">
        <v>0</v>
      </c>
      <c r="V145">
        <v>4.2858632988357036E-2</v>
      </c>
      <c r="W145">
        <v>0</v>
      </c>
      <c r="X145" t="s">
        <v>70</v>
      </c>
      <c r="Y145" t="s">
        <v>109</v>
      </c>
      <c r="Z145" t="s">
        <v>2385</v>
      </c>
      <c r="AA145">
        <v>0</v>
      </c>
      <c r="AB145">
        <v>0</v>
      </c>
      <c r="AC145">
        <v>0</v>
      </c>
      <c r="AD145">
        <v>0</v>
      </c>
    </row>
    <row r="146" spans="1:30" x14ac:dyDescent="0.25">
      <c r="A146">
        <v>12</v>
      </c>
      <c r="B146">
        <f>LOOKUP(A146,'cluster stats'!$B$21:$B$35,'cluster stats'!$A$21:$A$35)</f>
        <v>56</v>
      </c>
      <c r="C146" t="str">
        <f>VLOOKUP(A146,'cluster stats'!$A$2:$B$16,2,FALSE)</f>
        <v>nearshore small pelagics</v>
      </c>
      <c r="D146" t="s">
        <v>2507</v>
      </c>
      <c r="E146" t="s">
        <v>2508</v>
      </c>
      <c r="F146" t="s">
        <v>2385</v>
      </c>
      <c r="G146" t="s">
        <v>1933</v>
      </c>
      <c r="H146" t="s">
        <v>1934</v>
      </c>
      <c r="I146" t="s">
        <v>2509</v>
      </c>
      <c r="J146">
        <v>2.5705581160389701</v>
      </c>
      <c r="K146">
        <v>18.268519519483799</v>
      </c>
      <c r="L146">
        <v>6.4532523095234797</v>
      </c>
      <c r="M146">
        <v>3.2149999999999999</v>
      </c>
      <c r="N146">
        <v>10</v>
      </c>
      <c r="O146">
        <v>1.137534</v>
      </c>
      <c r="P146">
        <v>8.1293131224764503E-2</v>
      </c>
      <c r="Q146">
        <v>0.7716387778017767</v>
      </c>
      <c r="R146">
        <v>0</v>
      </c>
      <c r="S146">
        <v>7.5983865679854587E-2</v>
      </c>
      <c r="T146">
        <v>0</v>
      </c>
      <c r="U146">
        <v>0</v>
      </c>
      <c r="V146">
        <v>4.0646565612382154E-2</v>
      </c>
      <c r="W146">
        <v>3.0437659681222085E-2</v>
      </c>
      <c r="X146" t="s">
        <v>50</v>
      </c>
      <c r="Y146" t="s">
        <v>51</v>
      </c>
      <c r="Z146" t="s">
        <v>2385</v>
      </c>
      <c r="AA146">
        <v>0</v>
      </c>
      <c r="AB146">
        <v>0</v>
      </c>
      <c r="AC146">
        <v>0</v>
      </c>
      <c r="AD146">
        <v>0</v>
      </c>
    </row>
    <row r="147" spans="1:30" x14ac:dyDescent="0.25">
      <c r="A147">
        <v>12</v>
      </c>
      <c r="B147">
        <f>LOOKUP(A147,'cluster stats'!$B$21:$B$35,'cluster stats'!$A$21:$A$35)</f>
        <v>56</v>
      </c>
      <c r="C147" t="str">
        <f>VLOOKUP(A147,'cluster stats'!$A$2:$B$16,2,FALSE)</f>
        <v>nearshore small pelagics</v>
      </c>
      <c r="D147" t="s">
        <v>1426</v>
      </c>
      <c r="E147" t="s">
        <v>1422</v>
      </c>
      <c r="F147" t="s">
        <v>2385</v>
      </c>
      <c r="G147" t="s">
        <v>1424</v>
      </c>
      <c r="H147" t="s">
        <v>1425</v>
      </c>
      <c r="I147" t="s">
        <v>2510</v>
      </c>
      <c r="J147">
        <v>1.4199018883521599</v>
      </c>
      <c r="K147">
        <v>15.959858942384901</v>
      </c>
      <c r="L147">
        <v>16.212680979137801</v>
      </c>
      <c r="M147">
        <v>3.27</v>
      </c>
      <c r="N147">
        <v>16.489999999999998</v>
      </c>
      <c r="O147">
        <v>2.8800300000000001</v>
      </c>
      <c r="P147">
        <v>1.0000667093959402E-3</v>
      </c>
      <c r="Q147">
        <v>0.17514501469985572</v>
      </c>
      <c r="R147">
        <v>3.7002468048954427E-2</v>
      </c>
      <c r="S147">
        <v>0</v>
      </c>
      <c r="T147">
        <v>0</v>
      </c>
      <c r="U147">
        <v>0</v>
      </c>
      <c r="V147">
        <v>6.3204212854697114E-2</v>
      </c>
      <c r="W147">
        <v>0.72364823768709674</v>
      </c>
      <c r="X147" t="s">
        <v>50</v>
      </c>
      <c r="Y147" t="s">
        <v>51</v>
      </c>
      <c r="Z147" t="s">
        <v>2385</v>
      </c>
      <c r="AA147">
        <v>0</v>
      </c>
      <c r="AB147">
        <v>0</v>
      </c>
      <c r="AC147">
        <v>0</v>
      </c>
      <c r="AD147">
        <v>0</v>
      </c>
    </row>
    <row r="148" spans="1:30" x14ac:dyDescent="0.25">
      <c r="A148">
        <v>12</v>
      </c>
      <c r="B148">
        <f>LOOKUP(A148,'cluster stats'!$B$21:$B$35,'cluster stats'!$A$21:$A$35)</f>
        <v>56</v>
      </c>
      <c r="C148" t="str">
        <f>VLOOKUP(A148,'cluster stats'!$A$2:$B$16,2,FALSE)</f>
        <v>nearshore small pelagics</v>
      </c>
      <c r="D148" t="s">
        <v>1429</v>
      </c>
      <c r="E148" t="s">
        <v>1427</v>
      </c>
      <c r="F148" t="s">
        <v>2385</v>
      </c>
      <c r="G148" t="s">
        <v>1424</v>
      </c>
      <c r="H148" t="s">
        <v>1425</v>
      </c>
      <c r="I148" t="s">
        <v>2511</v>
      </c>
      <c r="J148">
        <v>0.96293200000000001</v>
      </c>
      <c r="K148">
        <v>25.5731175390722</v>
      </c>
      <c r="L148">
        <v>10.7</v>
      </c>
      <c r="M148">
        <v>3.46</v>
      </c>
      <c r="N148">
        <v>23.1</v>
      </c>
      <c r="O148">
        <v>3.39229</v>
      </c>
      <c r="P148">
        <v>0</v>
      </c>
      <c r="Q148">
        <v>0</v>
      </c>
      <c r="R148">
        <v>0</v>
      </c>
      <c r="S148">
        <v>0</v>
      </c>
      <c r="T148">
        <v>0</v>
      </c>
      <c r="U148">
        <v>0</v>
      </c>
      <c r="V148">
        <v>0</v>
      </c>
      <c r="W148">
        <v>1</v>
      </c>
      <c r="X148" t="s">
        <v>50</v>
      </c>
      <c r="Y148" t="s">
        <v>51</v>
      </c>
      <c r="Z148" t="s">
        <v>2385</v>
      </c>
      <c r="AA148">
        <v>1</v>
      </c>
      <c r="AB148">
        <v>0</v>
      </c>
      <c r="AC148">
        <v>1</v>
      </c>
      <c r="AD148">
        <v>0</v>
      </c>
    </row>
    <row r="149" spans="1:30" x14ac:dyDescent="0.25">
      <c r="A149">
        <v>12</v>
      </c>
      <c r="B149">
        <f>LOOKUP(A149,'cluster stats'!$B$21:$B$35,'cluster stats'!$A$21:$A$35)</f>
        <v>56</v>
      </c>
      <c r="C149" t="str">
        <f>VLOOKUP(A149,'cluster stats'!$A$2:$B$16,2,FALSE)</f>
        <v>nearshore small pelagics</v>
      </c>
      <c r="D149" t="s">
        <v>920</v>
      </c>
      <c r="E149" t="s">
        <v>918</v>
      </c>
      <c r="F149" t="s">
        <v>2385</v>
      </c>
      <c r="G149" t="s">
        <v>197</v>
      </c>
      <c r="H149" t="s">
        <v>916</v>
      </c>
      <c r="I149" t="s">
        <v>2512</v>
      </c>
      <c r="J149">
        <v>0.37676695292290102</v>
      </c>
      <c r="K149">
        <v>4.8617913218498305</v>
      </c>
      <c r="L149">
        <v>127.09728702966299</v>
      </c>
      <c r="M149">
        <v>3.6566666666666698</v>
      </c>
      <c r="N149">
        <v>41.43</v>
      </c>
      <c r="O149">
        <v>3.4132799999999999</v>
      </c>
      <c r="P149">
        <v>0.16296666670429077</v>
      </c>
      <c r="Q149">
        <v>0.53803332682443328</v>
      </c>
      <c r="R149">
        <v>2.9999998782078451E-3</v>
      </c>
      <c r="S149">
        <v>0</v>
      </c>
      <c r="T149">
        <v>2.000000051259995E-3</v>
      </c>
      <c r="U149">
        <v>0</v>
      </c>
      <c r="V149">
        <v>1.9333333696391838E-2</v>
      </c>
      <c r="W149">
        <v>0.27466667284541624</v>
      </c>
      <c r="X149" t="s">
        <v>50</v>
      </c>
      <c r="Y149" t="s">
        <v>51</v>
      </c>
      <c r="Z149" t="s">
        <v>2385</v>
      </c>
      <c r="AA149">
        <v>0</v>
      </c>
      <c r="AB149">
        <v>0</v>
      </c>
      <c r="AC149">
        <v>0</v>
      </c>
      <c r="AD149">
        <v>0</v>
      </c>
    </row>
    <row r="150" spans="1:30" x14ac:dyDescent="0.25">
      <c r="A150">
        <v>12</v>
      </c>
      <c r="B150">
        <f>LOOKUP(A150,'cluster stats'!$B$21:$B$35,'cluster stats'!$A$21:$A$35)</f>
        <v>56</v>
      </c>
      <c r="C150" t="str">
        <f>VLOOKUP(A150,'cluster stats'!$A$2:$B$16,2,FALSE)</f>
        <v>nearshore small pelagics</v>
      </c>
      <c r="D150" t="s">
        <v>2513</v>
      </c>
      <c r="E150" t="s">
        <v>1884</v>
      </c>
      <c r="F150" t="s">
        <v>2385</v>
      </c>
      <c r="G150" t="s">
        <v>1882</v>
      </c>
      <c r="H150" t="s">
        <v>1886</v>
      </c>
      <c r="I150" t="s">
        <v>2514</v>
      </c>
      <c r="J150">
        <v>2.1419499450228798</v>
      </c>
      <c r="K150">
        <v>15.084974453649501</v>
      </c>
      <c r="L150">
        <v>8.5650688070564005</v>
      </c>
      <c r="M150">
        <v>3.3333333333333299</v>
      </c>
      <c r="N150">
        <v>16.55</v>
      </c>
      <c r="O150">
        <v>1.6883699999999999</v>
      </c>
      <c r="P150">
        <v>0</v>
      </c>
      <c r="Q150">
        <v>0.49070186030586582</v>
      </c>
      <c r="R150">
        <v>0</v>
      </c>
      <c r="S150">
        <v>5.2889420861758352E-2</v>
      </c>
      <c r="T150">
        <v>0</v>
      </c>
      <c r="U150">
        <v>0</v>
      </c>
      <c r="V150">
        <v>0.23755249025567751</v>
      </c>
      <c r="W150">
        <v>0.21885622857669834</v>
      </c>
      <c r="X150" t="s">
        <v>50</v>
      </c>
      <c r="Y150" t="s">
        <v>51</v>
      </c>
      <c r="Z150" t="s">
        <v>2385</v>
      </c>
      <c r="AA150">
        <v>0</v>
      </c>
      <c r="AB150">
        <v>0</v>
      </c>
      <c r="AC150">
        <v>1</v>
      </c>
      <c r="AD150">
        <v>0</v>
      </c>
    </row>
    <row r="151" spans="1:30" x14ac:dyDescent="0.25">
      <c r="A151">
        <v>12</v>
      </c>
      <c r="B151">
        <f>LOOKUP(A151,'cluster stats'!$B$21:$B$35,'cluster stats'!$A$21:$A$35)</f>
        <v>56</v>
      </c>
      <c r="C151" t="str">
        <f>VLOOKUP(A151,'cluster stats'!$A$2:$B$16,2,FALSE)</f>
        <v>nearshore small pelagics</v>
      </c>
      <c r="D151" t="s">
        <v>2515</v>
      </c>
      <c r="E151" t="s">
        <v>1936</v>
      </c>
      <c r="F151" t="s">
        <v>2385</v>
      </c>
      <c r="G151" t="s">
        <v>1933</v>
      </c>
      <c r="H151" t="s">
        <v>1934</v>
      </c>
      <c r="I151" t="s">
        <v>2516</v>
      </c>
      <c r="J151">
        <v>1.2808728175817501</v>
      </c>
      <c r="K151">
        <v>10.15666430312098</v>
      </c>
      <c r="L151">
        <v>19.024518431779601</v>
      </c>
      <c r="M151">
        <v>3.2149999999999999</v>
      </c>
      <c r="N151">
        <v>23.67</v>
      </c>
      <c r="O151">
        <v>1.2675399999999999</v>
      </c>
      <c r="P151">
        <v>0</v>
      </c>
      <c r="Q151">
        <v>0.89620907442940545</v>
      </c>
      <c r="R151">
        <v>0</v>
      </c>
      <c r="S151">
        <v>0.10379092557059452</v>
      </c>
      <c r="T151">
        <v>0</v>
      </c>
      <c r="U151">
        <v>0</v>
      </c>
      <c r="V151">
        <v>0</v>
      </c>
      <c r="W151">
        <v>0</v>
      </c>
      <c r="X151" t="s">
        <v>50</v>
      </c>
      <c r="Y151" t="s">
        <v>51</v>
      </c>
      <c r="Z151" t="s">
        <v>2385</v>
      </c>
      <c r="AA151">
        <v>0</v>
      </c>
      <c r="AB151">
        <v>0</v>
      </c>
      <c r="AC151">
        <v>0</v>
      </c>
      <c r="AD151">
        <v>0</v>
      </c>
    </row>
    <row r="152" spans="1:30" x14ac:dyDescent="0.25">
      <c r="A152">
        <v>12</v>
      </c>
      <c r="B152">
        <f>LOOKUP(A152,'cluster stats'!$B$21:$B$35,'cluster stats'!$A$21:$A$35)</f>
        <v>56</v>
      </c>
      <c r="C152" t="str">
        <f>VLOOKUP(A152,'cluster stats'!$A$2:$B$16,2,FALSE)</f>
        <v>nearshore small pelagics</v>
      </c>
      <c r="D152" t="s">
        <v>2517</v>
      </c>
      <c r="E152" t="s">
        <v>2518</v>
      </c>
      <c r="F152" t="s">
        <v>2385</v>
      </c>
      <c r="G152" t="s">
        <v>1443</v>
      </c>
      <c r="H152" t="s">
        <v>2519</v>
      </c>
      <c r="I152" t="s">
        <v>2520</v>
      </c>
      <c r="J152">
        <v>1.2808728175817501</v>
      </c>
      <c r="K152">
        <v>65.9673629165449</v>
      </c>
      <c r="L152">
        <v>19.024518431779601</v>
      </c>
      <c r="M152">
        <v>2.81</v>
      </c>
      <c r="N152">
        <v>13.7</v>
      </c>
      <c r="O152">
        <v>3.1741100000000002</v>
      </c>
      <c r="P152">
        <v>0</v>
      </c>
      <c r="Q152">
        <v>0</v>
      </c>
      <c r="R152">
        <v>0</v>
      </c>
      <c r="S152">
        <v>1</v>
      </c>
      <c r="T152">
        <v>0</v>
      </c>
      <c r="U152">
        <v>0</v>
      </c>
      <c r="V152">
        <v>0</v>
      </c>
      <c r="W152">
        <v>0</v>
      </c>
      <c r="X152" t="s">
        <v>50</v>
      </c>
      <c r="Y152" t="s">
        <v>51</v>
      </c>
      <c r="Z152" t="s">
        <v>2385</v>
      </c>
      <c r="AA152">
        <v>0</v>
      </c>
      <c r="AB152">
        <v>0</v>
      </c>
      <c r="AC152">
        <v>0</v>
      </c>
      <c r="AD152">
        <v>0</v>
      </c>
    </row>
    <row r="153" spans="1:30" x14ac:dyDescent="0.25">
      <c r="A153">
        <v>12</v>
      </c>
      <c r="B153">
        <f>LOOKUP(A153,'cluster stats'!$B$21:$B$35,'cluster stats'!$A$21:$A$35)</f>
        <v>56</v>
      </c>
      <c r="C153" t="str">
        <f>VLOOKUP(A153,'cluster stats'!$A$2:$B$16,2,FALSE)</f>
        <v>nearshore small pelagics</v>
      </c>
      <c r="D153" t="s">
        <v>2521</v>
      </c>
      <c r="E153" t="s">
        <v>1410</v>
      </c>
      <c r="F153" t="s">
        <v>2385</v>
      </c>
      <c r="G153" t="s">
        <v>1413</v>
      </c>
      <c r="H153" t="s">
        <v>1414</v>
      </c>
      <c r="I153" t="s">
        <v>2522</v>
      </c>
      <c r="J153">
        <v>1.61404871698518</v>
      </c>
      <c r="K153">
        <v>13.739179781835274</v>
      </c>
      <c r="L153">
        <v>13.2882914175996</v>
      </c>
      <c r="M153">
        <v>3.04</v>
      </c>
      <c r="N153">
        <v>12.93</v>
      </c>
      <c r="O153">
        <v>1.3650599999999999</v>
      </c>
      <c r="P153">
        <v>0</v>
      </c>
      <c r="Q153">
        <v>0</v>
      </c>
      <c r="R153">
        <v>0</v>
      </c>
      <c r="S153">
        <v>0</v>
      </c>
      <c r="T153">
        <v>0</v>
      </c>
      <c r="U153">
        <v>0</v>
      </c>
      <c r="V153">
        <v>0</v>
      </c>
      <c r="W153">
        <v>1</v>
      </c>
      <c r="X153" t="s">
        <v>70</v>
      </c>
      <c r="Y153" t="s">
        <v>51</v>
      </c>
      <c r="Z153" t="s">
        <v>2385</v>
      </c>
      <c r="AA153">
        <v>0</v>
      </c>
      <c r="AB153">
        <v>0</v>
      </c>
      <c r="AC153">
        <v>0</v>
      </c>
      <c r="AD153">
        <v>0</v>
      </c>
    </row>
    <row r="154" spans="1:30" x14ac:dyDescent="0.25">
      <c r="A154">
        <v>12</v>
      </c>
      <c r="B154">
        <f>LOOKUP(A154,'cluster stats'!$B$21:$B$35,'cluster stats'!$A$21:$A$35)</f>
        <v>56</v>
      </c>
      <c r="C154" t="str">
        <f>VLOOKUP(A154,'cluster stats'!$A$2:$B$16,2,FALSE)</f>
        <v>nearshore small pelagics</v>
      </c>
      <c r="D154" t="s">
        <v>1462</v>
      </c>
      <c r="E154" t="s">
        <v>1457</v>
      </c>
      <c r="F154" t="s">
        <v>2385</v>
      </c>
      <c r="G154" t="s">
        <v>1460</v>
      </c>
      <c r="H154" t="s">
        <v>1461</v>
      </c>
      <c r="I154" t="s">
        <v>2523</v>
      </c>
      <c r="J154">
        <v>0.72957577917643801</v>
      </c>
      <c r="K154">
        <v>11.474978104647899</v>
      </c>
      <c r="L154">
        <v>47.825000000000003</v>
      </c>
      <c r="M154">
        <v>2.31</v>
      </c>
      <c r="N154">
        <v>50.23</v>
      </c>
      <c r="O154">
        <v>2.2794949999999998</v>
      </c>
      <c r="P154">
        <v>0</v>
      </c>
      <c r="Q154">
        <v>6.6667408514323196E-3</v>
      </c>
      <c r="R154">
        <v>0.13271258556806043</v>
      </c>
      <c r="S154">
        <v>0.19669107614143969</v>
      </c>
      <c r="T154">
        <v>0</v>
      </c>
      <c r="U154">
        <v>0</v>
      </c>
      <c r="V154">
        <v>7.210080197345746E-2</v>
      </c>
      <c r="W154">
        <v>0.59182879546561007</v>
      </c>
      <c r="X154" t="s">
        <v>50</v>
      </c>
      <c r="Y154" t="s">
        <v>51</v>
      </c>
      <c r="Z154" t="s">
        <v>2385</v>
      </c>
      <c r="AA154">
        <v>1</v>
      </c>
      <c r="AB154">
        <v>1</v>
      </c>
      <c r="AC154">
        <v>0</v>
      </c>
      <c r="AD154">
        <v>1</v>
      </c>
    </row>
    <row r="155" spans="1:30" x14ac:dyDescent="0.25">
      <c r="A155">
        <v>12</v>
      </c>
      <c r="B155">
        <f>LOOKUP(A155,'cluster stats'!$B$21:$B$35,'cluster stats'!$A$21:$A$35)</f>
        <v>56</v>
      </c>
      <c r="C155" t="str">
        <f>VLOOKUP(A155,'cluster stats'!$A$2:$B$16,2,FALSE)</f>
        <v>nearshore small pelagics</v>
      </c>
      <c r="D155" t="s">
        <v>1467</v>
      </c>
      <c r="E155" t="s">
        <v>1467</v>
      </c>
      <c r="F155" t="s">
        <v>2385</v>
      </c>
      <c r="G155" t="e">
        <v>#N/A</v>
      </c>
      <c r="H155" t="s">
        <v>1461</v>
      </c>
      <c r="I155" t="s">
        <v>2524</v>
      </c>
      <c r="J155">
        <v>0.70654144756941195</v>
      </c>
      <c r="K155">
        <v>15.4945671728085</v>
      </c>
      <c r="L155">
        <v>47.898287028903603</v>
      </c>
      <c r="M155">
        <v>2</v>
      </c>
      <c r="N155">
        <v>33.32</v>
      </c>
      <c r="O155">
        <v>1.9161699999999999</v>
      </c>
      <c r="P155">
        <v>0</v>
      </c>
      <c r="Q155">
        <v>4.5833588445528574E-3</v>
      </c>
      <c r="R155">
        <v>0.2038566882618966</v>
      </c>
      <c r="S155">
        <v>0.34834638109655319</v>
      </c>
      <c r="T155">
        <v>0</v>
      </c>
      <c r="U155">
        <v>0</v>
      </c>
      <c r="V155">
        <v>3.6050200587617938E-2</v>
      </c>
      <c r="W155">
        <v>0.4071633712093794</v>
      </c>
      <c r="X155" t="s">
        <v>50</v>
      </c>
      <c r="Y155" t="s">
        <v>51</v>
      </c>
      <c r="Z155" t="s">
        <v>2385</v>
      </c>
      <c r="AA155">
        <v>0</v>
      </c>
      <c r="AB155">
        <v>0</v>
      </c>
      <c r="AC155">
        <v>0</v>
      </c>
      <c r="AD155">
        <v>0</v>
      </c>
    </row>
    <row r="156" spans="1:30" x14ac:dyDescent="0.25">
      <c r="A156">
        <v>12</v>
      </c>
      <c r="B156">
        <f>LOOKUP(A156,'cluster stats'!$B$21:$B$35,'cluster stats'!$A$21:$A$35)</f>
        <v>56</v>
      </c>
      <c r="C156" t="str">
        <f>VLOOKUP(A156,'cluster stats'!$A$2:$B$16,2,FALSE)</f>
        <v>nearshore small pelagics</v>
      </c>
      <c r="D156" t="s">
        <v>1406</v>
      </c>
      <c r="E156" t="s">
        <v>1403</v>
      </c>
      <c r="F156" t="s">
        <v>2385</v>
      </c>
      <c r="G156" t="s">
        <v>1381</v>
      </c>
      <c r="H156" t="s">
        <v>1405</v>
      </c>
      <c r="I156" t="s">
        <v>2525</v>
      </c>
      <c r="J156">
        <v>1.0507944130120299</v>
      </c>
      <c r="K156">
        <v>9.1395167934217501</v>
      </c>
      <c r="L156">
        <v>28.79</v>
      </c>
      <c r="M156">
        <v>3.22</v>
      </c>
      <c r="N156">
        <v>25.26</v>
      </c>
      <c r="O156">
        <v>1.5911599999999999</v>
      </c>
      <c r="P156">
        <v>0</v>
      </c>
      <c r="Q156">
        <v>0</v>
      </c>
      <c r="R156">
        <v>0</v>
      </c>
      <c r="S156">
        <v>0</v>
      </c>
      <c r="T156">
        <v>0</v>
      </c>
      <c r="U156">
        <v>0</v>
      </c>
      <c r="V156">
        <v>0</v>
      </c>
      <c r="W156">
        <v>1</v>
      </c>
      <c r="X156" t="s">
        <v>50</v>
      </c>
      <c r="Y156" t="s">
        <v>51</v>
      </c>
      <c r="Z156" t="s">
        <v>2385</v>
      </c>
      <c r="AA156">
        <v>0</v>
      </c>
      <c r="AB156">
        <v>0</v>
      </c>
      <c r="AC156">
        <v>0</v>
      </c>
      <c r="AD156">
        <v>1</v>
      </c>
    </row>
    <row r="157" spans="1:30" x14ac:dyDescent="0.25">
      <c r="A157">
        <v>11</v>
      </c>
      <c r="B157">
        <f>LOOKUP(A157,'cluster stats'!$B$21:$B$35,'cluster stats'!$A$21:$A$35)</f>
        <v>57</v>
      </c>
      <c r="C157" t="str">
        <f>VLOOKUP(A157,'cluster stats'!$A$2:$B$16,2,FALSE)</f>
        <v>offshore small pelagics</v>
      </c>
      <c r="D157" t="s">
        <v>1433</v>
      </c>
      <c r="E157" t="s">
        <v>1430</v>
      </c>
      <c r="F157" t="s">
        <v>2385</v>
      </c>
      <c r="G157" t="s">
        <v>197</v>
      </c>
      <c r="H157" t="s">
        <v>1432</v>
      </c>
      <c r="I157" t="s">
        <v>2412</v>
      </c>
      <c r="J157">
        <v>0.56745403409081796</v>
      </c>
      <c r="K157">
        <v>14.496480528590951</v>
      </c>
      <c r="L157">
        <v>67.311308678876301</v>
      </c>
      <c r="M157">
        <v>3.43333333333333</v>
      </c>
      <c r="N157">
        <v>27.78</v>
      </c>
      <c r="O157">
        <v>3.2417899999999999</v>
      </c>
      <c r="P157">
        <v>1.1299999916955846E-2</v>
      </c>
      <c r="Q157">
        <v>0.21715000323054973</v>
      </c>
      <c r="R157">
        <v>0.60354999353370797</v>
      </c>
      <c r="S157">
        <v>0</v>
      </c>
      <c r="T157">
        <v>0</v>
      </c>
      <c r="U157">
        <v>0</v>
      </c>
      <c r="V157">
        <v>7.5000002745538911E-4</v>
      </c>
      <c r="W157">
        <v>0.167250003291331</v>
      </c>
      <c r="X157" t="s">
        <v>50</v>
      </c>
      <c r="Y157" t="s">
        <v>51</v>
      </c>
      <c r="Z157" t="s">
        <v>2385</v>
      </c>
      <c r="AA157">
        <v>1</v>
      </c>
      <c r="AB157">
        <v>0</v>
      </c>
      <c r="AC157">
        <v>0</v>
      </c>
      <c r="AD157">
        <v>0</v>
      </c>
    </row>
    <row r="158" spans="1:30" x14ac:dyDescent="0.25">
      <c r="A158">
        <v>11</v>
      </c>
      <c r="B158">
        <f>LOOKUP(A158,'cluster stats'!$B$21:$B$35,'cluster stats'!$A$21:$A$35)</f>
        <v>57</v>
      </c>
      <c r="C158" t="str">
        <f>VLOOKUP(A158,'cluster stats'!$A$2:$B$16,2,FALSE)</f>
        <v>offshore small pelagics</v>
      </c>
      <c r="D158" t="s">
        <v>1368</v>
      </c>
      <c r="E158" t="s">
        <v>1366</v>
      </c>
      <c r="F158" t="s">
        <v>2385</v>
      </c>
      <c r="G158" t="s">
        <v>197</v>
      </c>
      <c r="H158" t="s">
        <v>1361</v>
      </c>
      <c r="I158" t="s">
        <v>2526</v>
      </c>
      <c r="J158">
        <v>0.92649175867684996</v>
      </c>
      <c r="K158">
        <v>12.7569189932203</v>
      </c>
      <c r="L158">
        <v>31.4510411455501</v>
      </c>
      <c r="M158">
        <v>3.9433333333333298</v>
      </c>
      <c r="N158">
        <v>33.630000000000003</v>
      </c>
      <c r="O158">
        <v>2.6869299999999998</v>
      </c>
      <c r="P158">
        <v>0</v>
      </c>
      <c r="Q158">
        <v>0.44172650114492967</v>
      </c>
      <c r="R158">
        <v>0.17781067193625996</v>
      </c>
      <c r="S158">
        <v>0</v>
      </c>
      <c r="T158">
        <v>0</v>
      </c>
      <c r="U158">
        <v>0</v>
      </c>
      <c r="V158">
        <v>9.6045762839522139E-2</v>
      </c>
      <c r="W158">
        <v>0.28441706407928818</v>
      </c>
      <c r="X158" t="s">
        <v>70</v>
      </c>
      <c r="Y158" t="s">
        <v>51</v>
      </c>
      <c r="Z158" t="s">
        <v>2385</v>
      </c>
      <c r="AA158">
        <v>0</v>
      </c>
      <c r="AB158">
        <v>0</v>
      </c>
      <c r="AC158">
        <v>0</v>
      </c>
      <c r="AD158">
        <v>1</v>
      </c>
    </row>
    <row r="159" spans="1:30" x14ac:dyDescent="0.25">
      <c r="A159">
        <v>11</v>
      </c>
      <c r="B159">
        <f>LOOKUP(A159,'cluster stats'!$B$21:$B$35,'cluster stats'!$A$21:$A$35)</f>
        <v>57</v>
      </c>
      <c r="C159" t="str">
        <f>VLOOKUP(A159,'cluster stats'!$A$2:$B$16,2,FALSE)</f>
        <v>offshore small pelagics</v>
      </c>
      <c r="D159" t="s">
        <v>1376</v>
      </c>
      <c r="E159" t="s">
        <v>1373</v>
      </c>
      <c r="F159" t="s">
        <v>2385</v>
      </c>
      <c r="G159" t="s">
        <v>197</v>
      </c>
      <c r="H159" t="s">
        <v>1375</v>
      </c>
      <c r="I159" t="s">
        <v>2527</v>
      </c>
      <c r="J159">
        <v>0.77201093380451802</v>
      </c>
      <c r="K159">
        <v>15.55101575492</v>
      </c>
      <c r="L159">
        <v>41.743344060429301</v>
      </c>
      <c r="M159">
        <v>3.7533333333333299</v>
      </c>
      <c r="N159">
        <v>37.06</v>
      </c>
      <c r="O159">
        <v>1.8552299999999999</v>
      </c>
      <c r="P159">
        <v>0</v>
      </c>
      <c r="Q159">
        <v>0.3800000059127806</v>
      </c>
      <c r="R159">
        <v>0.6199999940872194</v>
      </c>
      <c r="S159">
        <v>0</v>
      </c>
      <c r="T159">
        <v>0</v>
      </c>
      <c r="U159">
        <v>0</v>
      </c>
      <c r="V159">
        <v>0</v>
      </c>
      <c r="W159">
        <v>0</v>
      </c>
      <c r="X159" t="s">
        <v>70</v>
      </c>
      <c r="Y159" t="s">
        <v>51</v>
      </c>
      <c r="Z159" t="s">
        <v>2385</v>
      </c>
      <c r="AA159">
        <v>0</v>
      </c>
      <c r="AB159">
        <v>0</v>
      </c>
      <c r="AC159">
        <v>0</v>
      </c>
      <c r="AD159">
        <v>0</v>
      </c>
    </row>
  </sheetData>
  <sortState xmlns:xlrd2="http://schemas.microsoft.com/office/spreadsheetml/2017/richdata2" ref="A2:AD159">
    <sortCondition ref="B1:B15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5"/>
  <sheetViews>
    <sheetView workbookViewId="0"/>
  </sheetViews>
  <sheetFormatPr defaultRowHeight="15" x14ac:dyDescent="0.25"/>
  <cols>
    <col min="2" max="2" width="19.7109375" bestFit="1" customWidth="1"/>
    <col min="10" max="10" width="28.85546875" bestFit="1" customWidth="1"/>
  </cols>
  <sheetData>
    <row r="1" spans="1:29" x14ac:dyDescent="0.25">
      <c r="A1" t="s">
        <v>2354</v>
      </c>
      <c r="B1" t="s">
        <v>2356</v>
      </c>
      <c r="C1" t="s">
        <v>11</v>
      </c>
      <c r="D1" t="s">
        <v>12</v>
      </c>
      <c r="E1" t="s">
        <v>13</v>
      </c>
      <c r="F1" t="s">
        <v>14</v>
      </c>
      <c r="G1" t="s">
        <v>15</v>
      </c>
      <c r="H1" t="s">
        <v>16</v>
      </c>
      <c r="I1" t="s">
        <v>20</v>
      </c>
      <c r="J1" t="s">
        <v>21</v>
      </c>
      <c r="K1" t="s">
        <v>22</v>
      </c>
      <c r="L1" t="s">
        <v>23</v>
      </c>
      <c r="M1" t="s">
        <v>24</v>
      </c>
      <c r="N1" t="s">
        <v>25</v>
      </c>
      <c r="O1" t="s">
        <v>26</v>
      </c>
      <c r="P1" t="s">
        <v>27</v>
      </c>
      <c r="Q1" t="s">
        <v>50</v>
      </c>
      <c r="R1" t="s">
        <v>70</v>
      </c>
      <c r="S1" t="s">
        <v>2528</v>
      </c>
      <c r="T1" t="s">
        <v>109</v>
      </c>
      <c r="U1" t="s">
        <v>51</v>
      </c>
      <c r="V1" t="s">
        <v>77</v>
      </c>
      <c r="W1" t="s">
        <v>45</v>
      </c>
      <c r="X1" t="s">
        <v>2385</v>
      </c>
      <c r="Y1" t="s">
        <v>28</v>
      </c>
      <c r="Z1" t="s">
        <v>29</v>
      </c>
      <c r="AA1" t="s">
        <v>30</v>
      </c>
      <c r="AB1" t="s">
        <v>31</v>
      </c>
      <c r="AC1" t="s">
        <v>2529</v>
      </c>
    </row>
    <row r="2" spans="1:29" x14ac:dyDescent="0.25">
      <c r="A2">
        <v>1</v>
      </c>
      <c r="B2" t="s">
        <v>2225</v>
      </c>
      <c r="C2">
        <v>0.49224822193781054</v>
      </c>
      <c r="D2">
        <v>4.8612499591070275</v>
      </c>
      <c r="E2">
        <v>117.40485202195784</v>
      </c>
      <c r="F2">
        <v>3.8585185238167088</v>
      </c>
      <c r="G2">
        <v>62.464444444444446</v>
      </c>
      <c r="H2">
        <v>1.6782096666666666</v>
      </c>
      <c r="I2">
        <v>0.37953549783753365</v>
      </c>
      <c r="J2">
        <v>0.417785310177619</v>
      </c>
      <c r="K2">
        <v>7.4780808476818478E-2</v>
      </c>
      <c r="L2">
        <v>3.7042902470830687E-5</v>
      </c>
      <c r="M2">
        <v>1.5687304635946482E-2</v>
      </c>
      <c r="N2">
        <v>0</v>
      </c>
      <c r="O2">
        <v>0.1044750424119083</v>
      </c>
      <c r="P2">
        <v>7.6989935577032181E-3</v>
      </c>
      <c r="Q2">
        <v>5</v>
      </c>
      <c r="R2">
        <v>4</v>
      </c>
      <c r="S2">
        <v>0</v>
      </c>
      <c r="T2">
        <v>9</v>
      </c>
      <c r="U2">
        <v>0</v>
      </c>
      <c r="V2">
        <v>0</v>
      </c>
      <c r="W2">
        <v>9</v>
      </c>
      <c r="X2">
        <v>0</v>
      </c>
      <c r="Y2">
        <v>1</v>
      </c>
      <c r="Z2">
        <v>0</v>
      </c>
      <c r="AA2">
        <v>0</v>
      </c>
      <c r="AB2">
        <v>0</v>
      </c>
      <c r="AC2">
        <v>9</v>
      </c>
    </row>
    <row r="3" spans="1:29" x14ac:dyDescent="0.25">
      <c r="A3">
        <v>2</v>
      </c>
      <c r="B3" t="s">
        <v>92</v>
      </c>
      <c r="C3">
        <v>0.32753389794698273</v>
      </c>
      <c r="D3">
        <v>3.2428281232129996</v>
      </c>
      <c r="E3">
        <v>263.54559659412683</v>
      </c>
      <c r="F3">
        <v>4.190952380952381</v>
      </c>
      <c r="G3">
        <v>73.177142857142854</v>
      </c>
      <c r="H3">
        <v>2.353882142857143</v>
      </c>
      <c r="I3">
        <v>0.69734841867883357</v>
      </c>
      <c r="J3">
        <v>0.12809547895869797</v>
      </c>
      <c r="K3">
        <v>1.4364108406572942E-2</v>
      </c>
      <c r="L3">
        <v>7.6585034939076081E-3</v>
      </c>
      <c r="M3">
        <v>7.8007805325747193E-2</v>
      </c>
      <c r="N3">
        <v>0</v>
      </c>
      <c r="O3">
        <v>7.4525685136240721E-2</v>
      </c>
      <c r="P3">
        <v>0</v>
      </c>
      <c r="Q3">
        <v>4</v>
      </c>
      <c r="R3">
        <v>3</v>
      </c>
      <c r="S3">
        <v>0</v>
      </c>
      <c r="T3">
        <v>0</v>
      </c>
      <c r="U3">
        <v>0</v>
      </c>
      <c r="V3">
        <v>7</v>
      </c>
      <c r="W3">
        <v>7</v>
      </c>
      <c r="X3">
        <v>0</v>
      </c>
      <c r="Y3">
        <v>2</v>
      </c>
      <c r="Z3">
        <v>0</v>
      </c>
      <c r="AA3">
        <v>1</v>
      </c>
      <c r="AB3">
        <v>1</v>
      </c>
      <c r="AC3">
        <v>7</v>
      </c>
    </row>
    <row r="4" spans="1:29" x14ac:dyDescent="0.25">
      <c r="A4">
        <v>3</v>
      </c>
      <c r="B4" t="s">
        <v>2222</v>
      </c>
      <c r="C4">
        <v>0.485977697879107</v>
      </c>
      <c r="D4">
        <v>5.0075480520208302</v>
      </c>
      <c r="E4">
        <v>85.617935342052306</v>
      </c>
      <c r="F4">
        <v>3.7549999999999999</v>
      </c>
      <c r="G4">
        <v>63.38</v>
      </c>
      <c r="H4">
        <v>1.0128385</v>
      </c>
      <c r="I4">
        <v>0.10079856025661783</v>
      </c>
      <c r="J4">
        <v>0.77477464614852398</v>
      </c>
      <c r="K4">
        <v>1.2256967604425111E-2</v>
      </c>
      <c r="L4">
        <v>0</v>
      </c>
      <c r="M4">
        <v>1.5142640905319601E-2</v>
      </c>
      <c r="N4">
        <v>0</v>
      </c>
      <c r="O4">
        <v>9.5912915333856069E-2</v>
      </c>
      <c r="P4">
        <v>1.1142697512574581E-3</v>
      </c>
      <c r="Q4">
        <v>0</v>
      </c>
      <c r="R4">
        <v>1</v>
      </c>
      <c r="S4">
        <v>0</v>
      </c>
      <c r="T4">
        <v>0</v>
      </c>
      <c r="U4">
        <v>1</v>
      </c>
      <c r="V4">
        <v>0</v>
      </c>
      <c r="W4">
        <v>1</v>
      </c>
      <c r="X4">
        <v>0</v>
      </c>
      <c r="Y4">
        <v>1</v>
      </c>
      <c r="Z4">
        <v>0</v>
      </c>
      <c r="AA4">
        <v>0</v>
      </c>
      <c r="AB4">
        <v>0</v>
      </c>
      <c r="AC4">
        <v>1</v>
      </c>
    </row>
    <row r="5" spans="1:29" x14ac:dyDescent="0.25">
      <c r="A5">
        <v>4</v>
      </c>
      <c r="B5" t="s">
        <v>2222</v>
      </c>
      <c r="C5">
        <v>0.19644393481345881</v>
      </c>
      <c r="D5">
        <v>2.0989196315592</v>
      </c>
      <c r="E5">
        <v>437.78251523100181</v>
      </c>
      <c r="F5">
        <v>4.1306666692097984</v>
      </c>
      <c r="G5">
        <v>76.358000000000004</v>
      </c>
      <c r="H5">
        <v>1.9751677999999999</v>
      </c>
      <c r="I5">
        <v>0.72844791014187438</v>
      </c>
      <c r="J5">
        <v>0.1549029222764966</v>
      </c>
      <c r="K5">
        <v>6.2138624231899671E-3</v>
      </c>
      <c r="L5">
        <v>6.666466870205365E-4</v>
      </c>
      <c r="M5">
        <v>3.1825751478993192E-2</v>
      </c>
      <c r="N5">
        <v>0</v>
      </c>
      <c r="O5">
        <v>7.1929545536000242E-2</v>
      </c>
      <c r="P5">
        <v>6.0133614564251122E-3</v>
      </c>
      <c r="Q5">
        <v>5</v>
      </c>
      <c r="R5">
        <v>0</v>
      </c>
      <c r="S5">
        <v>0</v>
      </c>
      <c r="T5">
        <v>0</v>
      </c>
      <c r="U5">
        <v>5</v>
      </c>
      <c r="V5">
        <v>0</v>
      </c>
      <c r="W5">
        <v>5</v>
      </c>
      <c r="X5">
        <v>0</v>
      </c>
      <c r="Y5">
        <v>1</v>
      </c>
      <c r="Z5">
        <v>0</v>
      </c>
      <c r="AA5">
        <v>0</v>
      </c>
      <c r="AB5">
        <v>3</v>
      </c>
      <c r="AC5">
        <v>5</v>
      </c>
    </row>
    <row r="6" spans="1:29" x14ac:dyDescent="0.25">
      <c r="A6">
        <v>5</v>
      </c>
      <c r="B6" t="s">
        <v>2300</v>
      </c>
      <c r="C6">
        <v>0.72386666163143298</v>
      </c>
      <c r="D6">
        <v>12.296661132222077</v>
      </c>
      <c r="E6">
        <v>49.54400939654527</v>
      </c>
      <c r="F6">
        <v>3.2919047619047612</v>
      </c>
      <c r="G6">
        <v>38.645714285714284</v>
      </c>
      <c r="H6">
        <v>2.0370650000000001</v>
      </c>
      <c r="I6">
        <v>2.6174168034478071E-2</v>
      </c>
      <c r="J6">
        <v>0.18590484298409418</v>
      </c>
      <c r="K6">
        <v>0.20468662252661826</v>
      </c>
      <c r="L6">
        <v>0.21748286139831441</v>
      </c>
      <c r="M6">
        <v>0</v>
      </c>
      <c r="N6">
        <v>5.1941327034872455E-2</v>
      </c>
      <c r="O6">
        <v>0.25610774669237268</v>
      </c>
      <c r="P6">
        <v>5.7702431329249973E-2</v>
      </c>
      <c r="Q6">
        <v>7</v>
      </c>
      <c r="R6">
        <v>0</v>
      </c>
      <c r="S6">
        <v>0</v>
      </c>
      <c r="T6">
        <v>0</v>
      </c>
      <c r="U6">
        <v>0</v>
      </c>
      <c r="V6">
        <v>7</v>
      </c>
      <c r="W6">
        <v>0</v>
      </c>
      <c r="X6">
        <v>7</v>
      </c>
      <c r="Y6">
        <v>2</v>
      </c>
      <c r="Z6">
        <v>1</v>
      </c>
      <c r="AA6">
        <v>4</v>
      </c>
      <c r="AB6">
        <v>3</v>
      </c>
      <c r="AC6">
        <v>7</v>
      </c>
    </row>
    <row r="7" spans="1:29" x14ac:dyDescent="0.25">
      <c r="A7">
        <v>6</v>
      </c>
      <c r="B7" t="s">
        <v>444</v>
      </c>
      <c r="C7">
        <v>0.6088924298134869</v>
      </c>
      <c r="D7">
        <v>6.8747455721939739</v>
      </c>
      <c r="E7">
        <v>66.565841779747032</v>
      </c>
      <c r="F7">
        <v>3.8669696969696963</v>
      </c>
      <c r="G7">
        <v>42.689090909090908</v>
      </c>
      <c r="H7">
        <v>1.8511887272727272</v>
      </c>
      <c r="I7">
        <v>0.34659048422874306</v>
      </c>
      <c r="J7">
        <v>0.34482423203579249</v>
      </c>
      <c r="K7">
        <v>2.4725002090497075E-4</v>
      </c>
      <c r="L7">
        <v>1.1890197198705188E-3</v>
      </c>
      <c r="M7">
        <v>1.3416564844009294E-2</v>
      </c>
      <c r="N7">
        <v>0</v>
      </c>
      <c r="O7">
        <v>5.7525882117810873E-2</v>
      </c>
      <c r="P7">
        <v>0.2362065670328688</v>
      </c>
      <c r="Q7">
        <v>11</v>
      </c>
      <c r="R7">
        <v>0</v>
      </c>
      <c r="S7">
        <v>0</v>
      </c>
      <c r="T7">
        <v>0</v>
      </c>
      <c r="U7">
        <v>0</v>
      </c>
      <c r="V7">
        <v>11</v>
      </c>
      <c r="W7">
        <v>0</v>
      </c>
      <c r="X7">
        <v>11</v>
      </c>
      <c r="Y7">
        <v>5</v>
      </c>
      <c r="Z7">
        <v>1</v>
      </c>
      <c r="AA7">
        <v>2</v>
      </c>
      <c r="AB7">
        <v>2</v>
      </c>
      <c r="AC7">
        <v>11</v>
      </c>
    </row>
    <row r="8" spans="1:29" x14ac:dyDescent="0.25">
      <c r="A8">
        <v>7</v>
      </c>
      <c r="B8" t="s">
        <v>2298</v>
      </c>
      <c r="C8">
        <v>0.83737031002688112</v>
      </c>
      <c r="D8">
        <v>9.7741912640002067</v>
      </c>
      <c r="E8">
        <v>41.371280224501035</v>
      </c>
      <c r="F8">
        <v>3.3914194150198074</v>
      </c>
      <c r="G8">
        <v>37.568076923076923</v>
      </c>
      <c r="H8">
        <v>1.8329472179487181</v>
      </c>
      <c r="I8">
        <v>2.503209413702423E-2</v>
      </c>
      <c r="J8">
        <v>0.24424061694124388</v>
      </c>
      <c r="K8">
        <v>7.7040202920535733E-2</v>
      </c>
      <c r="L8">
        <v>8.7455977442154081E-2</v>
      </c>
      <c r="M8">
        <v>0</v>
      </c>
      <c r="N8">
        <v>3.1337600267621016E-2</v>
      </c>
      <c r="O8">
        <v>0.50300677622033607</v>
      </c>
      <c r="P8">
        <v>3.1886732071085021E-2</v>
      </c>
      <c r="Q8">
        <v>0</v>
      </c>
      <c r="R8">
        <v>26</v>
      </c>
      <c r="S8">
        <v>0</v>
      </c>
      <c r="T8">
        <v>0</v>
      </c>
      <c r="U8">
        <v>0</v>
      </c>
      <c r="V8">
        <v>26</v>
      </c>
      <c r="W8">
        <v>0</v>
      </c>
      <c r="X8">
        <v>26</v>
      </c>
      <c r="Y8">
        <v>9</v>
      </c>
      <c r="Z8">
        <v>7</v>
      </c>
      <c r="AA8">
        <v>10</v>
      </c>
      <c r="AB8">
        <v>15</v>
      </c>
      <c r="AC8">
        <v>26</v>
      </c>
    </row>
    <row r="9" spans="1:29" x14ac:dyDescent="0.25">
      <c r="A9">
        <v>8</v>
      </c>
      <c r="B9" t="s">
        <v>2304</v>
      </c>
      <c r="C9">
        <v>1.7261575506905176</v>
      </c>
      <c r="D9">
        <v>13.771506356916557</v>
      </c>
      <c r="E9">
        <v>13.014370171010247</v>
      </c>
      <c r="F9">
        <v>3.4666666666666677</v>
      </c>
      <c r="G9">
        <v>15.734999999999999</v>
      </c>
      <c r="H9">
        <v>1.3209460500000001</v>
      </c>
      <c r="I9">
        <v>0</v>
      </c>
      <c r="J9">
        <v>0</v>
      </c>
      <c r="K9">
        <v>4.7499999602138958E-3</v>
      </c>
      <c r="L9">
        <v>0</v>
      </c>
      <c r="M9">
        <v>0</v>
      </c>
      <c r="N9">
        <v>3.249999894350757E-3</v>
      </c>
      <c r="O9">
        <v>7.5000003293156678E-4</v>
      </c>
      <c r="P9">
        <v>0.99125000011250375</v>
      </c>
      <c r="Q9">
        <v>0</v>
      </c>
      <c r="R9">
        <v>4</v>
      </c>
      <c r="S9">
        <v>0</v>
      </c>
      <c r="T9">
        <v>0</v>
      </c>
      <c r="U9">
        <v>0</v>
      </c>
      <c r="V9">
        <v>4</v>
      </c>
      <c r="W9">
        <v>0</v>
      </c>
      <c r="X9">
        <v>4</v>
      </c>
      <c r="Y9">
        <v>2</v>
      </c>
      <c r="Z9">
        <v>3</v>
      </c>
      <c r="AA9">
        <v>2</v>
      </c>
      <c r="AB9">
        <v>1</v>
      </c>
      <c r="AC9">
        <v>4</v>
      </c>
    </row>
    <row r="10" spans="1:29" x14ac:dyDescent="0.25">
      <c r="A10">
        <v>9</v>
      </c>
      <c r="B10" t="s">
        <v>444</v>
      </c>
      <c r="C10">
        <v>0.76401158390949064</v>
      </c>
      <c r="D10">
        <v>7.2471142230744698</v>
      </c>
      <c r="E10">
        <v>45.99931105453868</v>
      </c>
      <c r="F10">
        <v>3.7494708978814417</v>
      </c>
      <c r="G10">
        <v>37.442380952380951</v>
      </c>
      <c r="H10">
        <v>1.5839046428571428</v>
      </c>
      <c r="I10">
        <v>0.29600872689112806</v>
      </c>
      <c r="J10">
        <v>0.49911586861865742</v>
      </c>
      <c r="K10">
        <v>2.6548882089483986E-2</v>
      </c>
      <c r="L10">
        <v>8.1178509372399567E-4</v>
      </c>
      <c r="M10">
        <v>1.222078250624755E-2</v>
      </c>
      <c r="N10">
        <v>3.6171716890127039E-3</v>
      </c>
      <c r="O10">
        <v>6.9193063562403095E-2</v>
      </c>
      <c r="P10">
        <v>9.2483719549343132E-2</v>
      </c>
      <c r="Q10">
        <v>0</v>
      </c>
      <c r="R10">
        <v>21</v>
      </c>
      <c r="S10">
        <v>0</v>
      </c>
      <c r="T10">
        <v>0</v>
      </c>
      <c r="U10">
        <v>0</v>
      </c>
      <c r="V10">
        <v>21</v>
      </c>
      <c r="W10">
        <v>0</v>
      </c>
      <c r="X10">
        <v>21</v>
      </c>
      <c r="Y10">
        <v>7</v>
      </c>
      <c r="Z10">
        <v>10</v>
      </c>
      <c r="AA10">
        <v>10</v>
      </c>
      <c r="AB10">
        <v>12</v>
      </c>
      <c r="AC10">
        <v>21</v>
      </c>
    </row>
    <row r="11" spans="1:29" x14ac:dyDescent="0.25">
      <c r="A11">
        <v>10</v>
      </c>
      <c r="B11" t="s">
        <v>2227</v>
      </c>
      <c r="C11">
        <v>0.38113254214627001</v>
      </c>
      <c r="D11">
        <v>4.0927164658743376</v>
      </c>
      <c r="E11">
        <v>147.73273610667573</v>
      </c>
      <c r="F11">
        <v>4.2440000000000024</v>
      </c>
      <c r="G11">
        <v>56.802</v>
      </c>
      <c r="H11">
        <v>2.6758511999999999</v>
      </c>
      <c r="I11">
        <v>0.7893343739484493</v>
      </c>
      <c r="J11">
        <v>0.10095916462393158</v>
      </c>
      <c r="K11">
        <v>2.1202931553243889E-3</v>
      </c>
      <c r="L11">
        <v>3.3336111906673551E-5</v>
      </c>
      <c r="M11">
        <v>1.8552433502517764E-2</v>
      </c>
      <c r="N11">
        <v>4.6682226702515794E-4</v>
      </c>
      <c r="O11">
        <v>1.472488789183506E-2</v>
      </c>
      <c r="P11">
        <v>7.3808688499010067E-2</v>
      </c>
      <c r="Q11">
        <v>3</v>
      </c>
      <c r="R11">
        <v>2</v>
      </c>
      <c r="S11">
        <v>0</v>
      </c>
      <c r="T11">
        <v>0</v>
      </c>
      <c r="U11">
        <v>5</v>
      </c>
      <c r="V11">
        <v>0</v>
      </c>
      <c r="W11">
        <v>0</v>
      </c>
      <c r="X11">
        <v>5</v>
      </c>
      <c r="Y11">
        <v>1</v>
      </c>
      <c r="Z11">
        <v>2</v>
      </c>
      <c r="AA11">
        <v>2</v>
      </c>
      <c r="AB11">
        <v>4</v>
      </c>
      <c r="AC11">
        <v>5</v>
      </c>
    </row>
    <row r="12" spans="1:29" x14ac:dyDescent="0.25">
      <c r="A12">
        <v>11</v>
      </c>
      <c r="B12" t="s">
        <v>2316</v>
      </c>
      <c r="C12">
        <v>0.75531890885739528</v>
      </c>
      <c r="D12">
        <v>14.268138425577083</v>
      </c>
      <c r="E12">
        <v>46.835231294951903</v>
      </c>
      <c r="F12">
        <v>3.7099999999999964</v>
      </c>
      <c r="G12">
        <v>32.823333333333338</v>
      </c>
      <c r="H12">
        <v>2.5946499999999997</v>
      </c>
      <c r="I12">
        <v>3.7666666389852819E-3</v>
      </c>
      <c r="J12">
        <v>0.34629217009608665</v>
      </c>
      <c r="K12">
        <v>0.46712021985239577</v>
      </c>
      <c r="L12">
        <v>0</v>
      </c>
      <c r="M12">
        <v>0</v>
      </c>
      <c r="N12">
        <v>0</v>
      </c>
      <c r="O12">
        <v>3.2265254288992511E-2</v>
      </c>
      <c r="P12">
        <v>0.15055568912353973</v>
      </c>
      <c r="Q12">
        <v>1</v>
      </c>
      <c r="R12">
        <v>2</v>
      </c>
      <c r="S12">
        <v>0</v>
      </c>
      <c r="T12">
        <v>0</v>
      </c>
      <c r="U12">
        <v>3</v>
      </c>
      <c r="V12">
        <v>0</v>
      </c>
      <c r="W12">
        <v>0</v>
      </c>
      <c r="X12">
        <v>3</v>
      </c>
      <c r="Y12">
        <v>1</v>
      </c>
      <c r="Z12">
        <v>0</v>
      </c>
      <c r="AA12">
        <v>0</v>
      </c>
      <c r="AB12">
        <v>1</v>
      </c>
      <c r="AC12">
        <v>3</v>
      </c>
    </row>
    <row r="13" spans="1:29" x14ac:dyDescent="0.25">
      <c r="A13">
        <v>12</v>
      </c>
      <c r="B13" t="s">
        <v>2314</v>
      </c>
      <c r="C13">
        <v>1.284983172203952</v>
      </c>
      <c r="D13">
        <v>18.701866440801776</v>
      </c>
      <c r="E13">
        <v>31.352627675949371</v>
      </c>
      <c r="F13">
        <v>3.0481818181818183</v>
      </c>
      <c r="G13">
        <v>24.243636363636362</v>
      </c>
      <c r="H13">
        <v>2.1913671818181819</v>
      </c>
      <c r="I13">
        <v>2.2296351330768294E-2</v>
      </c>
      <c r="J13">
        <v>0.26208892306884746</v>
      </c>
      <c r="K13">
        <v>3.4233794705192666E-2</v>
      </c>
      <c r="L13">
        <v>0.16160924266820004</v>
      </c>
      <c r="M13">
        <v>1.8181818647818135E-4</v>
      </c>
      <c r="N13">
        <v>0</v>
      </c>
      <c r="O13">
        <v>4.2626145907293092E-2</v>
      </c>
      <c r="P13">
        <v>0.47696372413322025</v>
      </c>
      <c r="Q13">
        <v>10</v>
      </c>
      <c r="R13">
        <v>1</v>
      </c>
      <c r="S13">
        <v>0</v>
      </c>
      <c r="T13">
        <v>0</v>
      </c>
      <c r="U13">
        <v>11</v>
      </c>
      <c r="V13">
        <v>0</v>
      </c>
      <c r="W13">
        <v>0</v>
      </c>
      <c r="X13">
        <v>11</v>
      </c>
      <c r="Y13">
        <v>2</v>
      </c>
      <c r="Z13">
        <v>1</v>
      </c>
      <c r="AA13">
        <v>2</v>
      </c>
      <c r="AB13">
        <v>2</v>
      </c>
      <c r="AC13">
        <v>11</v>
      </c>
    </row>
    <row r="14" spans="1:29" x14ac:dyDescent="0.25">
      <c r="A14">
        <v>13</v>
      </c>
      <c r="B14" t="s">
        <v>2307</v>
      </c>
      <c r="C14">
        <v>0.94748729677760446</v>
      </c>
      <c r="D14">
        <v>8.3914263635807966</v>
      </c>
      <c r="E14">
        <v>41.220798910364124</v>
      </c>
      <c r="F14">
        <v>3.6528260867492017</v>
      </c>
      <c r="G14">
        <v>37.479130434782611</v>
      </c>
      <c r="H14">
        <v>1.4155411884057971</v>
      </c>
      <c r="I14">
        <v>0.2153192262332379</v>
      </c>
      <c r="J14">
        <v>0.45005136749492197</v>
      </c>
      <c r="K14">
        <v>3.0366543186786065E-2</v>
      </c>
      <c r="L14">
        <v>1.2856204834805915E-2</v>
      </c>
      <c r="M14">
        <v>1.9999999822271301E-3</v>
      </c>
      <c r="N14">
        <v>7.0476345005478214E-4</v>
      </c>
      <c r="O14">
        <v>0.17590723203124398</v>
      </c>
      <c r="P14">
        <v>0.11279466278672225</v>
      </c>
      <c r="Q14">
        <v>0</v>
      </c>
      <c r="R14">
        <v>23</v>
      </c>
      <c r="S14">
        <v>0</v>
      </c>
      <c r="T14">
        <v>23</v>
      </c>
      <c r="U14">
        <v>0</v>
      </c>
      <c r="V14">
        <v>0</v>
      </c>
      <c r="W14">
        <v>0</v>
      </c>
      <c r="X14">
        <v>23</v>
      </c>
      <c r="Y14">
        <v>9</v>
      </c>
      <c r="Z14">
        <v>4</v>
      </c>
      <c r="AA14">
        <v>5</v>
      </c>
      <c r="AB14">
        <v>4</v>
      </c>
      <c r="AC14">
        <v>23</v>
      </c>
    </row>
    <row r="15" spans="1:29" x14ac:dyDescent="0.25">
      <c r="A15">
        <v>14</v>
      </c>
      <c r="B15" t="s">
        <v>2310</v>
      </c>
      <c r="C15">
        <v>2.34945512614062</v>
      </c>
      <c r="D15">
        <v>28.4098611563542</v>
      </c>
      <c r="E15">
        <v>7.4572026306742654</v>
      </c>
      <c r="F15">
        <v>2.4</v>
      </c>
      <c r="G15">
        <v>13.105</v>
      </c>
      <c r="H15">
        <v>0.436166</v>
      </c>
      <c r="I15">
        <v>0</v>
      </c>
      <c r="J15">
        <v>0.29992696924300655</v>
      </c>
      <c r="K15">
        <v>0.59033907266805319</v>
      </c>
      <c r="L15">
        <v>6.6875325100583208E-2</v>
      </c>
      <c r="M15">
        <v>0</v>
      </c>
      <c r="N15">
        <v>0</v>
      </c>
      <c r="O15">
        <v>4.2858632988357036E-2</v>
      </c>
      <c r="P15">
        <v>0</v>
      </c>
      <c r="Q15">
        <v>1</v>
      </c>
      <c r="R15">
        <v>1</v>
      </c>
      <c r="S15">
        <v>0</v>
      </c>
      <c r="T15">
        <v>2</v>
      </c>
      <c r="U15">
        <v>0</v>
      </c>
      <c r="V15">
        <v>0</v>
      </c>
      <c r="W15">
        <v>0</v>
      </c>
      <c r="X15">
        <v>2</v>
      </c>
      <c r="Y15">
        <v>0</v>
      </c>
      <c r="Z15">
        <v>0</v>
      </c>
      <c r="AA15">
        <v>0</v>
      </c>
      <c r="AB15">
        <v>0</v>
      </c>
      <c r="AC15">
        <v>2</v>
      </c>
    </row>
    <row r="16" spans="1:29" x14ac:dyDescent="0.25">
      <c r="A16">
        <v>15</v>
      </c>
      <c r="B16" t="s">
        <v>1293</v>
      </c>
      <c r="C16">
        <v>1.1429597043375452</v>
      </c>
      <c r="D16">
        <v>8.9089624363079398</v>
      </c>
      <c r="E16">
        <v>44.258078299136152</v>
      </c>
      <c r="F16">
        <v>3.4351449288492617</v>
      </c>
      <c r="G16">
        <v>36.192608695652176</v>
      </c>
      <c r="H16">
        <v>1.5948780217391305</v>
      </c>
      <c r="I16">
        <v>7.732800507178153E-2</v>
      </c>
      <c r="J16">
        <v>0.47421811165008509</v>
      </c>
      <c r="K16">
        <v>6.9714128283798027E-2</v>
      </c>
      <c r="L16">
        <v>6.0817234203478308E-2</v>
      </c>
      <c r="M16">
        <v>3.4492752673815261E-3</v>
      </c>
      <c r="N16">
        <v>3.1394973379815804E-3</v>
      </c>
      <c r="O16">
        <v>0.18674786846114452</v>
      </c>
      <c r="P16">
        <v>0.12458587972434941</v>
      </c>
      <c r="Q16">
        <v>23</v>
      </c>
      <c r="R16">
        <v>0</v>
      </c>
      <c r="S16">
        <v>0</v>
      </c>
      <c r="T16">
        <v>23</v>
      </c>
      <c r="U16">
        <v>0</v>
      </c>
      <c r="V16">
        <v>0</v>
      </c>
      <c r="W16">
        <v>0</v>
      </c>
      <c r="X16">
        <v>23</v>
      </c>
      <c r="Y16">
        <v>10</v>
      </c>
      <c r="Z16">
        <v>2</v>
      </c>
      <c r="AA16">
        <v>6</v>
      </c>
      <c r="AB16">
        <v>2</v>
      </c>
      <c r="AC16">
        <v>23</v>
      </c>
    </row>
    <row r="20" spans="1:11" x14ac:dyDescent="0.25">
      <c r="A20" t="s">
        <v>2530</v>
      </c>
      <c r="B20" t="s">
        <v>2531</v>
      </c>
      <c r="C20" t="s">
        <v>2356</v>
      </c>
      <c r="D20" t="s">
        <v>2530</v>
      </c>
      <c r="I20" t="s">
        <v>2212</v>
      </c>
      <c r="J20" t="s">
        <v>2213</v>
      </c>
      <c r="K20" t="s">
        <v>2212</v>
      </c>
    </row>
    <row r="21" spans="1:11" x14ac:dyDescent="0.25">
      <c r="A21">
        <f>VLOOKUP(C21,$J$21:$K$103,2,FALSE)</f>
        <v>6</v>
      </c>
      <c r="B21">
        <v>1</v>
      </c>
      <c r="C21" t="s">
        <v>2225</v>
      </c>
      <c r="I21">
        <v>1</v>
      </c>
      <c r="J21" t="s">
        <v>2217</v>
      </c>
      <c r="K21">
        <v>1</v>
      </c>
    </row>
    <row r="22" spans="1:11" x14ac:dyDescent="0.25">
      <c r="A22">
        <f t="shared" ref="A22:A35" si="0">VLOOKUP(C22,$J$21:$K$103,2,FALSE)</f>
        <v>5</v>
      </c>
      <c r="B22">
        <v>2</v>
      </c>
      <c r="C22" t="s">
        <v>92</v>
      </c>
      <c r="I22">
        <v>2</v>
      </c>
      <c r="J22" t="s">
        <v>2219</v>
      </c>
      <c r="K22">
        <v>2</v>
      </c>
    </row>
    <row r="23" spans="1:11" x14ac:dyDescent="0.25">
      <c r="A23">
        <f t="shared" si="0"/>
        <v>4</v>
      </c>
      <c r="B23">
        <v>3</v>
      </c>
      <c r="C23" t="s">
        <v>2222</v>
      </c>
      <c r="I23">
        <v>3</v>
      </c>
      <c r="J23" t="s">
        <v>2221</v>
      </c>
      <c r="K23">
        <v>3</v>
      </c>
    </row>
    <row r="24" spans="1:11" x14ac:dyDescent="0.25">
      <c r="A24">
        <f t="shared" si="0"/>
        <v>4</v>
      </c>
      <c r="B24">
        <v>4</v>
      </c>
      <c r="C24" t="s">
        <v>2222</v>
      </c>
      <c r="I24">
        <v>4</v>
      </c>
      <c r="J24" t="s">
        <v>2222</v>
      </c>
      <c r="K24">
        <v>4</v>
      </c>
    </row>
    <row r="25" spans="1:11" x14ac:dyDescent="0.25">
      <c r="A25">
        <f t="shared" si="0"/>
        <v>48</v>
      </c>
      <c r="B25">
        <v>5</v>
      </c>
      <c r="C25" t="s">
        <v>2300</v>
      </c>
      <c r="I25">
        <v>5</v>
      </c>
      <c r="J25" t="s">
        <v>92</v>
      </c>
      <c r="K25">
        <v>5</v>
      </c>
    </row>
    <row r="26" spans="1:11" x14ac:dyDescent="0.25">
      <c r="A26">
        <f t="shared" si="0"/>
        <v>45</v>
      </c>
      <c r="B26">
        <v>6</v>
      </c>
      <c r="C26" t="s">
        <v>444</v>
      </c>
      <c r="I26">
        <v>6</v>
      </c>
      <c r="J26" t="s">
        <v>2225</v>
      </c>
      <c r="K26">
        <v>6</v>
      </c>
    </row>
    <row r="27" spans="1:11" x14ac:dyDescent="0.25">
      <c r="A27">
        <f t="shared" si="0"/>
        <v>47</v>
      </c>
      <c r="B27">
        <v>7</v>
      </c>
      <c r="C27" t="s">
        <v>2298</v>
      </c>
      <c r="I27">
        <v>7</v>
      </c>
      <c r="J27" t="s">
        <v>2227</v>
      </c>
      <c r="K27">
        <v>7</v>
      </c>
    </row>
    <row r="28" spans="1:11" x14ac:dyDescent="0.25">
      <c r="A28">
        <f t="shared" si="0"/>
        <v>50</v>
      </c>
      <c r="B28">
        <v>8</v>
      </c>
      <c r="C28" t="s">
        <v>2304</v>
      </c>
      <c r="I28">
        <v>8</v>
      </c>
      <c r="J28" t="s">
        <v>2229</v>
      </c>
      <c r="K28">
        <v>8</v>
      </c>
    </row>
    <row r="29" spans="1:11" x14ac:dyDescent="0.25">
      <c r="A29">
        <f t="shared" si="0"/>
        <v>45</v>
      </c>
      <c r="B29">
        <v>9</v>
      </c>
      <c r="C29" t="s">
        <v>444</v>
      </c>
      <c r="I29">
        <v>9</v>
      </c>
      <c r="J29" t="s">
        <v>2231</v>
      </c>
      <c r="K29">
        <v>9</v>
      </c>
    </row>
    <row r="30" spans="1:11" x14ac:dyDescent="0.25">
      <c r="A30">
        <f t="shared" si="0"/>
        <v>7</v>
      </c>
      <c r="B30">
        <v>10</v>
      </c>
      <c r="C30" t="s">
        <v>2227</v>
      </c>
      <c r="I30">
        <v>10</v>
      </c>
      <c r="J30" t="s">
        <v>2233</v>
      </c>
      <c r="K30">
        <v>10</v>
      </c>
    </row>
    <row r="31" spans="1:11" x14ac:dyDescent="0.25">
      <c r="A31">
        <f t="shared" si="0"/>
        <v>57</v>
      </c>
      <c r="B31">
        <v>11</v>
      </c>
      <c r="C31" t="s">
        <v>2316</v>
      </c>
      <c r="I31">
        <v>11</v>
      </c>
      <c r="J31" t="s">
        <v>2235</v>
      </c>
      <c r="K31">
        <v>11</v>
      </c>
    </row>
    <row r="32" spans="1:11" x14ac:dyDescent="0.25">
      <c r="A32">
        <f t="shared" si="0"/>
        <v>56</v>
      </c>
      <c r="B32">
        <v>12</v>
      </c>
      <c r="C32" t="s">
        <v>2314</v>
      </c>
      <c r="I32">
        <v>12</v>
      </c>
      <c r="J32" t="s">
        <v>2232</v>
      </c>
      <c r="K32">
        <v>12</v>
      </c>
    </row>
    <row r="33" spans="1:11" x14ac:dyDescent="0.25">
      <c r="A33">
        <f t="shared" si="0"/>
        <v>52</v>
      </c>
      <c r="B33">
        <v>13</v>
      </c>
      <c r="C33" t="s">
        <v>2307</v>
      </c>
      <c r="I33">
        <v>13</v>
      </c>
      <c r="J33" t="s">
        <v>2236</v>
      </c>
      <c r="K33">
        <v>13</v>
      </c>
    </row>
    <row r="34" spans="1:11" x14ac:dyDescent="0.25">
      <c r="A34">
        <f t="shared" si="0"/>
        <v>54</v>
      </c>
      <c r="B34">
        <v>14</v>
      </c>
      <c r="C34" t="s">
        <v>2310</v>
      </c>
      <c r="I34">
        <v>14</v>
      </c>
      <c r="J34" t="s">
        <v>2237</v>
      </c>
      <c r="K34">
        <v>14</v>
      </c>
    </row>
    <row r="35" spans="1:11" x14ac:dyDescent="0.25">
      <c r="A35">
        <f t="shared" si="0"/>
        <v>53</v>
      </c>
      <c r="B35">
        <v>15</v>
      </c>
      <c r="C35" t="s">
        <v>1293</v>
      </c>
      <c r="I35">
        <v>15</v>
      </c>
      <c r="J35" t="s">
        <v>2239</v>
      </c>
      <c r="K35">
        <v>15</v>
      </c>
    </row>
    <row r="36" spans="1:11" x14ac:dyDescent="0.25">
      <c r="I36">
        <v>16</v>
      </c>
      <c r="J36" t="s">
        <v>2241</v>
      </c>
      <c r="K36">
        <v>16</v>
      </c>
    </row>
    <row r="37" spans="1:11" x14ac:dyDescent="0.25">
      <c r="I37">
        <v>17</v>
      </c>
      <c r="J37" t="s">
        <v>2243</v>
      </c>
      <c r="K37">
        <v>17</v>
      </c>
    </row>
    <row r="38" spans="1:11" x14ac:dyDescent="0.25">
      <c r="I38">
        <v>18</v>
      </c>
      <c r="J38" t="s">
        <v>2244</v>
      </c>
      <c r="K38">
        <v>18</v>
      </c>
    </row>
    <row r="39" spans="1:11" x14ac:dyDescent="0.25">
      <c r="I39">
        <v>19</v>
      </c>
      <c r="J39" t="s">
        <v>2532</v>
      </c>
      <c r="K39">
        <v>19</v>
      </c>
    </row>
    <row r="40" spans="1:11" x14ac:dyDescent="0.25">
      <c r="I40">
        <v>20</v>
      </c>
      <c r="J40" t="s">
        <v>2533</v>
      </c>
      <c r="K40">
        <v>20</v>
      </c>
    </row>
    <row r="41" spans="1:11" x14ac:dyDescent="0.25">
      <c r="I41">
        <v>21</v>
      </c>
      <c r="J41" t="s">
        <v>2247</v>
      </c>
      <c r="K41">
        <v>21</v>
      </c>
    </row>
    <row r="42" spans="1:11" x14ac:dyDescent="0.25">
      <c r="I42">
        <v>22</v>
      </c>
      <c r="J42" t="s">
        <v>2249</v>
      </c>
      <c r="K42">
        <v>22</v>
      </c>
    </row>
    <row r="43" spans="1:11" x14ac:dyDescent="0.25">
      <c r="I43">
        <v>23</v>
      </c>
      <c r="J43" t="s">
        <v>2251</v>
      </c>
      <c r="K43">
        <v>23</v>
      </c>
    </row>
    <row r="44" spans="1:11" x14ac:dyDescent="0.25">
      <c r="I44">
        <v>24</v>
      </c>
      <c r="J44" t="s">
        <v>2253</v>
      </c>
      <c r="K44">
        <v>24</v>
      </c>
    </row>
    <row r="45" spans="1:11" x14ac:dyDescent="0.25">
      <c r="I45">
        <v>25</v>
      </c>
      <c r="J45" t="s">
        <v>2255</v>
      </c>
      <c r="K45">
        <v>25</v>
      </c>
    </row>
    <row r="46" spans="1:11" x14ac:dyDescent="0.25">
      <c r="I46">
        <v>26</v>
      </c>
      <c r="J46" t="s">
        <v>2257</v>
      </c>
      <c r="K46">
        <v>26</v>
      </c>
    </row>
    <row r="47" spans="1:11" x14ac:dyDescent="0.25">
      <c r="I47">
        <v>27</v>
      </c>
      <c r="J47" t="s">
        <v>2259</v>
      </c>
      <c r="K47">
        <v>27</v>
      </c>
    </row>
    <row r="48" spans="1:11" x14ac:dyDescent="0.25">
      <c r="I48">
        <v>28</v>
      </c>
      <c r="J48" t="s">
        <v>2534</v>
      </c>
      <c r="K48">
        <v>28</v>
      </c>
    </row>
    <row r="49" spans="9:11" x14ac:dyDescent="0.25">
      <c r="I49">
        <v>29</v>
      </c>
      <c r="J49" t="s">
        <v>2535</v>
      </c>
      <c r="K49">
        <v>29</v>
      </c>
    </row>
    <row r="50" spans="9:11" x14ac:dyDescent="0.25">
      <c r="I50">
        <v>30</v>
      </c>
      <c r="J50" t="s">
        <v>2536</v>
      </c>
      <c r="K50">
        <v>30</v>
      </c>
    </row>
    <row r="51" spans="9:11" x14ac:dyDescent="0.25">
      <c r="I51">
        <v>31</v>
      </c>
      <c r="J51" t="s">
        <v>2271</v>
      </c>
      <c r="K51">
        <v>31</v>
      </c>
    </row>
    <row r="52" spans="9:11" x14ac:dyDescent="0.25">
      <c r="I52">
        <v>32</v>
      </c>
      <c r="J52" t="s">
        <v>2273</v>
      </c>
      <c r="K52">
        <v>32</v>
      </c>
    </row>
    <row r="53" spans="9:11" x14ac:dyDescent="0.25">
      <c r="I53">
        <v>33</v>
      </c>
      <c r="J53" t="s">
        <v>2275</v>
      </c>
      <c r="K53">
        <v>33</v>
      </c>
    </row>
    <row r="54" spans="9:11" x14ac:dyDescent="0.25">
      <c r="I54">
        <v>34</v>
      </c>
      <c r="J54" t="s">
        <v>2276</v>
      </c>
      <c r="K54">
        <v>34</v>
      </c>
    </row>
    <row r="55" spans="9:11" x14ac:dyDescent="0.25">
      <c r="I55">
        <v>35</v>
      </c>
      <c r="J55" t="s">
        <v>2278</v>
      </c>
      <c r="K55">
        <v>35</v>
      </c>
    </row>
    <row r="56" spans="9:11" x14ac:dyDescent="0.25">
      <c r="I56">
        <v>36</v>
      </c>
      <c r="J56" t="s">
        <v>2280</v>
      </c>
      <c r="K56">
        <v>36</v>
      </c>
    </row>
    <row r="57" spans="9:11" x14ac:dyDescent="0.25">
      <c r="I57">
        <v>37</v>
      </c>
      <c r="J57" t="s">
        <v>2282</v>
      </c>
      <c r="K57">
        <v>37</v>
      </c>
    </row>
    <row r="58" spans="9:11" x14ac:dyDescent="0.25">
      <c r="I58">
        <v>38</v>
      </c>
      <c r="J58" t="s">
        <v>2284</v>
      </c>
      <c r="K58">
        <v>38</v>
      </c>
    </row>
    <row r="59" spans="9:11" x14ac:dyDescent="0.25">
      <c r="I59">
        <v>39</v>
      </c>
      <c r="J59" t="s">
        <v>2286</v>
      </c>
      <c r="K59">
        <v>39</v>
      </c>
    </row>
    <row r="60" spans="9:11" x14ac:dyDescent="0.25">
      <c r="I60">
        <v>40</v>
      </c>
      <c r="J60" t="s">
        <v>2288</v>
      </c>
      <c r="K60">
        <v>40</v>
      </c>
    </row>
    <row r="61" spans="9:11" x14ac:dyDescent="0.25">
      <c r="I61">
        <v>41</v>
      </c>
      <c r="J61" t="s">
        <v>2290</v>
      </c>
      <c r="K61">
        <v>41</v>
      </c>
    </row>
    <row r="62" spans="9:11" x14ac:dyDescent="0.25">
      <c r="I62">
        <v>42</v>
      </c>
      <c r="J62" t="s">
        <v>432</v>
      </c>
      <c r="K62">
        <v>42</v>
      </c>
    </row>
    <row r="63" spans="9:11" x14ac:dyDescent="0.25">
      <c r="I63">
        <v>43</v>
      </c>
      <c r="J63" t="s">
        <v>2293</v>
      </c>
      <c r="K63">
        <v>43</v>
      </c>
    </row>
    <row r="64" spans="9:11" x14ac:dyDescent="0.25">
      <c r="I64">
        <v>44</v>
      </c>
      <c r="J64" t="s">
        <v>2281</v>
      </c>
      <c r="K64">
        <v>44</v>
      </c>
    </row>
    <row r="65" spans="9:11" x14ac:dyDescent="0.25">
      <c r="I65">
        <v>45</v>
      </c>
      <c r="J65" t="s">
        <v>444</v>
      </c>
      <c r="K65">
        <v>45</v>
      </c>
    </row>
    <row r="66" spans="9:11" x14ac:dyDescent="0.25">
      <c r="I66">
        <v>46</v>
      </c>
      <c r="J66" t="s">
        <v>521</v>
      </c>
      <c r="K66">
        <v>46</v>
      </c>
    </row>
    <row r="67" spans="9:11" x14ac:dyDescent="0.25">
      <c r="I67">
        <v>47</v>
      </c>
      <c r="J67" t="s">
        <v>2298</v>
      </c>
      <c r="K67">
        <v>47</v>
      </c>
    </row>
    <row r="68" spans="9:11" x14ac:dyDescent="0.25">
      <c r="I68">
        <v>48</v>
      </c>
      <c r="J68" t="s">
        <v>2300</v>
      </c>
      <c r="K68">
        <v>48</v>
      </c>
    </row>
    <row r="69" spans="9:11" x14ac:dyDescent="0.25">
      <c r="I69">
        <v>49</v>
      </c>
      <c r="J69" t="s">
        <v>2302</v>
      </c>
      <c r="K69">
        <v>49</v>
      </c>
    </row>
    <row r="70" spans="9:11" x14ac:dyDescent="0.25">
      <c r="I70">
        <v>50</v>
      </c>
      <c r="J70" t="s">
        <v>2304</v>
      </c>
      <c r="K70">
        <v>50</v>
      </c>
    </row>
    <row r="71" spans="9:11" x14ac:dyDescent="0.25">
      <c r="I71">
        <v>51</v>
      </c>
      <c r="J71" t="s">
        <v>941</v>
      </c>
      <c r="K71">
        <v>51</v>
      </c>
    </row>
    <row r="72" spans="9:11" x14ac:dyDescent="0.25">
      <c r="I72">
        <v>52</v>
      </c>
      <c r="J72" t="s">
        <v>2307</v>
      </c>
      <c r="K72">
        <v>52</v>
      </c>
    </row>
    <row r="73" spans="9:11" x14ac:dyDescent="0.25">
      <c r="I73">
        <v>53</v>
      </c>
      <c r="J73" t="s">
        <v>1293</v>
      </c>
      <c r="K73">
        <v>53</v>
      </c>
    </row>
    <row r="74" spans="9:11" x14ac:dyDescent="0.25">
      <c r="I74">
        <v>54</v>
      </c>
      <c r="J74" t="s">
        <v>2310</v>
      </c>
      <c r="K74">
        <v>54</v>
      </c>
    </row>
    <row r="75" spans="9:11" x14ac:dyDescent="0.25">
      <c r="I75">
        <v>55</v>
      </c>
      <c r="J75" t="s">
        <v>2312</v>
      </c>
      <c r="K75">
        <v>55</v>
      </c>
    </row>
    <row r="76" spans="9:11" x14ac:dyDescent="0.25">
      <c r="I76">
        <v>56</v>
      </c>
      <c r="J76" t="s">
        <v>2314</v>
      </c>
      <c r="K76">
        <v>56</v>
      </c>
    </row>
    <row r="77" spans="9:11" x14ac:dyDescent="0.25">
      <c r="I77">
        <v>57</v>
      </c>
      <c r="J77" t="s">
        <v>2316</v>
      </c>
      <c r="K77">
        <v>57</v>
      </c>
    </row>
    <row r="78" spans="9:11" x14ac:dyDescent="0.25">
      <c r="I78">
        <v>58</v>
      </c>
      <c r="J78" t="s">
        <v>2318</v>
      </c>
      <c r="K78">
        <v>58</v>
      </c>
    </row>
    <row r="79" spans="9:11" x14ac:dyDescent="0.25">
      <c r="I79">
        <v>59</v>
      </c>
      <c r="J79" t="s">
        <v>2320</v>
      </c>
      <c r="K79">
        <v>59</v>
      </c>
    </row>
    <row r="80" spans="9:11" x14ac:dyDescent="0.25">
      <c r="I80">
        <v>60</v>
      </c>
      <c r="J80" t="s">
        <v>2322</v>
      </c>
      <c r="K80">
        <v>60</v>
      </c>
    </row>
    <row r="81" spans="9:11" x14ac:dyDescent="0.25">
      <c r="I81">
        <v>61</v>
      </c>
      <c r="J81" t="s">
        <v>2324</v>
      </c>
      <c r="K81">
        <v>61</v>
      </c>
    </row>
    <row r="82" spans="9:11" x14ac:dyDescent="0.25">
      <c r="I82">
        <v>62</v>
      </c>
      <c r="J82" t="s">
        <v>2537</v>
      </c>
      <c r="K82">
        <v>62</v>
      </c>
    </row>
    <row r="83" spans="9:11" x14ac:dyDescent="0.25">
      <c r="I83">
        <v>63</v>
      </c>
      <c r="J83" t="s">
        <v>2326</v>
      </c>
      <c r="K83">
        <v>63</v>
      </c>
    </row>
    <row r="84" spans="9:11" x14ac:dyDescent="0.25">
      <c r="I84">
        <v>64</v>
      </c>
      <c r="J84" t="s">
        <v>2328</v>
      </c>
      <c r="K84">
        <v>64</v>
      </c>
    </row>
    <row r="85" spans="9:11" x14ac:dyDescent="0.25">
      <c r="I85">
        <v>65</v>
      </c>
      <c r="J85" t="s">
        <v>2330</v>
      </c>
      <c r="K85">
        <v>65</v>
      </c>
    </row>
    <row r="86" spans="9:11" x14ac:dyDescent="0.25">
      <c r="I86">
        <v>66</v>
      </c>
      <c r="J86" t="s">
        <v>2332</v>
      </c>
      <c r="K86">
        <v>66</v>
      </c>
    </row>
    <row r="87" spans="9:11" x14ac:dyDescent="0.25">
      <c r="I87">
        <v>67</v>
      </c>
      <c r="J87" t="s">
        <v>2334</v>
      </c>
      <c r="K87">
        <v>67</v>
      </c>
    </row>
    <row r="88" spans="9:11" x14ac:dyDescent="0.25">
      <c r="I88">
        <v>68</v>
      </c>
      <c r="J88" t="s">
        <v>2336</v>
      </c>
      <c r="K88">
        <v>68</v>
      </c>
    </row>
    <row r="89" spans="9:11" x14ac:dyDescent="0.25">
      <c r="I89">
        <v>69</v>
      </c>
      <c r="J89" t="s">
        <v>2338</v>
      </c>
      <c r="K89">
        <v>69</v>
      </c>
    </row>
    <row r="90" spans="9:11" x14ac:dyDescent="0.25">
      <c r="I90">
        <v>70</v>
      </c>
      <c r="J90" t="s">
        <v>2340</v>
      </c>
      <c r="K90">
        <v>70</v>
      </c>
    </row>
    <row r="91" spans="9:11" x14ac:dyDescent="0.25">
      <c r="I91">
        <v>71</v>
      </c>
      <c r="J91" t="s">
        <v>2342</v>
      </c>
      <c r="K91">
        <v>71</v>
      </c>
    </row>
    <row r="92" spans="9:11" x14ac:dyDescent="0.25">
      <c r="I92">
        <v>72</v>
      </c>
      <c r="J92" t="s">
        <v>2344</v>
      </c>
      <c r="K92">
        <v>72</v>
      </c>
    </row>
    <row r="93" spans="9:11" x14ac:dyDescent="0.25">
      <c r="I93">
        <v>73</v>
      </c>
      <c r="J93" t="s">
        <v>2345</v>
      </c>
      <c r="K93">
        <v>73</v>
      </c>
    </row>
    <row r="94" spans="9:11" x14ac:dyDescent="0.25">
      <c r="I94">
        <v>74</v>
      </c>
      <c r="J94" t="s">
        <v>2346</v>
      </c>
      <c r="K94">
        <v>74</v>
      </c>
    </row>
    <row r="95" spans="9:11" x14ac:dyDescent="0.25">
      <c r="I95">
        <v>75</v>
      </c>
      <c r="J95" t="s">
        <v>2347</v>
      </c>
      <c r="K95">
        <v>75</v>
      </c>
    </row>
    <row r="96" spans="9:11" x14ac:dyDescent="0.25">
      <c r="I96">
        <v>76</v>
      </c>
      <c r="J96" t="s">
        <v>2348</v>
      </c>
      <c r="K96">
        <v>76</v>
      </c>
    </row>
    <row r="97" spans="9:11" x14ac:dyDescent="0.25">
      <c r="I97">
        <v>77</v>
      </c>
      <c r="J97" t="s">
        <v>2349</v>
      </c>
      <c r="K97">
        <v>77</v>
      </c>
    </row>
    <row r="98" spans="9:11" x14ac:dyDescent="0.25">
      <c r="I98">
        <v>78</v>
      </c>
      <c r="J98" t="s">
        <v>2350</v>
      </c>
      <c r="K98">
        <v>78</v>
      </c>
    </row>
    <row r="99" spans="9:11" x14ac:dyDescent="0.25">
      <c r="I99">
        <v>79</v>
      </c>
      <c r="J99" t="s">
        <v>2351</v>
      </c>
      <c r="K99">
        <v>79</v>
      </c>
    </row>
    <row r="100" spans="9:11" x14ac:dyDescent="0.25">
      <c r="I100">
        <v>80</v>
      </c>
      <c r="J100" t="s">
        <v>2352</v>
      </c>
      <c r="K100">
        <v>80</v>
      </c>
    </row>
    <row r="101" spans="9:11" x14ac:dyDescent="0.25">
      <c r="I101">
        <v>81</v>
      </c>
      <c r="J101" t="s">
        <v>2353</v>
      </c>
      <c r="K101">
        <v>81</v>
      </c>
    </row>
    <row r="102" spans="9:11" x14ac:dyDescent="0.25">
      <c r="I102">
        <v>82</v>
      </c>
      <c r="J102" t="s">
        <v>2339</v>
      </c>
      <c r="K102">
        <v>82</v>
      </c>
    </row>
    <row r="103" spans="9:11" x14ac:dyDescent="0.25">
      <c r="I103">
        <v>83</v>
      </c>
      <c r="J103" t="s">
        <v>2341</v>
      </c>
      <c r="K103">
        <v>83</v>
      </c>
    </row>
    <row r="104" spans="9:11" x14ac:dyDescent="0.25">
      <c r="I104">
        <v>84</v>
      </c>
      <c r="K104">
        <v>84</v>
      </c>
    </row>
    <row r="105" spans="9:11" x14ac:dyDescent="0.25">
      <c r="I105">
        <v>85</v>
      </c>
      <c r="K105">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6dea80-f1a1-4d04-8b6a-3f912e269b24" xsi:nil="true"/>
    <lcf76f155ced4ddcb4097134ff3c332f xmlns="86ec2001-a39e-49d2-ad75-530490fb10d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5B9B94FFA319439E9F1E269F5192E7" ma:contentTypeVersion="14" ma:contentTypeDescription="Create a new document." ma:contentTypeScope="" ma:versionID="9da1c7f1111d52d7e372b5040dd6bbe4">
  <xsd:schema xmlns:xsd="http://www.w3.org/2001/XMLSchema" xmlns:xs="http://www.w3.org/2001/XMLSchema" xmlns:p="http://schemas.microsoft.com/office/2006/metadata/properties" xmlns:ns2="86ec2001-a39e-49d2-ad75-530490fb10da" xmlns:ns3="646dea80-f1a1-4d04-8b6a-3f912e269b24" targetNamespace="http://schemas.microsoft.com/office/2006/metadata/properties" ma:root="true" ma:fieldsID="7951bbdcbfcbb64835ae476b98f3ccae" ns2:_="" ns3:_="">
    <xsd:import namespace="86ec2001-a39e-49d2-ad75-530490fb10da"/>
    <xsd:import namespace="646dea80-f1a1-4d04-8b6a-3f912e269b2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c2001-a39e-49d2-ad75-530490fb10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a0c477a-f09e-4137-8c49-77869fdcca9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6dea80-f1a1-4d04-8b6a-3f912e269b2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5c3a642-b97f-4c70-97f8-864b565a2b2b}" ma:internalName="TaxCatchAll" ma:showField="CatchAllData" ma:web="646dea80-f1a1-4d04-8b6a-3f912e269b2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3CC3C-B462-4EB4-BFC9-C321DAA0FFF1}">
  <ds:schemaRefs>
    <ds:schemaRef ds:uri="http://schemas.microsoft.com/office/2006/metadata/properties"/>
    <ds:schemaRef ds:uri="http://schemas.microsoft.com/office/infopath/2007/PartnerControls"/>
    <ds:schemaRef ds:uri="646dea80-f1a1-4d04-8b6a-3f912e269b24"/>
    <ds:schemaRef ds:uri="86ec2001-a39e-49d2-ad75-530490fb10da"/>
  </ds:schemaRefs>
</ds:datastoreItem>
</file>

<file path=customXml/itemProps2.xml><?xml version="1.0" encoding="utf-8"?>
<ds:datastoreItem xmlns:ds="http://schemas.openxmlformats.org/officeDocument/2006/customXml" ds:itemID="{EE853E9E-B55A-439B-AB0D-83220F462A54}">
  <ds:schemaRefs>
    <ds:schemaRef ds:uri="http://schemas.microsoft.com/sharepoint/v3/contenttype/forms"/>
  </ds:schemaRefs>
</ds:datastoreItem>
</file>

<file path=customXml/itemProps3.xml><?xml version="1.0" encoding="utf-8"?>
<ds:datastoreItem xmlns:ds="http://schemas.openxmlformats.org/officeDocument/2006/customXml" ds:itemID="{260A6543-981C-4F1C-9B6D-A57BCAA07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c2001-a39e-49d2-ad75-530490fb10da"/>
    <ds:schemaRef ds:uri="646dea80-f1a1-4d04-8b6a-3f912e269b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spplist</vt:lpstr>
      <vt:lpstr>model groups</vt:lpstr>
      <vt:lpstr>Sheet1</vt:lpstr>
      <vt:lpstr>spp_stanzas_sizes</vt:lpstr>
      <vt:lpstr>cluster spp</vt:lpstr>
      <vt:lpstr>cluster stats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Chagaris, David</cp:lastModifiedBy>
  <cp:revision/>
  <dcterms:created xsi:type="dcterms:W3CDTF">2018-03-12T19:46:28Z</dcterms:created>
  <dcterms:modified xsi:type="dcterms:W3CDTF">2026-07-13T14:53:12Z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0x010100165B9B94FFA319439E9F1E269F5192E7</vt:lpwstr>
  </property>
  <property fmtid="{D5CDD505-2E9C-101B-9397-08002B2CF9AE}" pid="3" name="MediaServiceImageTags">
    <vt:lpwstr/>
  </property>
</Properties>
</file>